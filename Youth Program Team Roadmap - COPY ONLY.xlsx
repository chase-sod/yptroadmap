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drawings/drawing3.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166925"/>
  <mc:AlternateContent xmlns:mc="http://schemas.openxmlformats.org/markup-compatibility/2006">
    <mc:Choice Requires="x15">
      <x15ac:absPath xmlns:x15ac="http://schemas.microsoft.com/office/spreadsheetml/2010/11/ac" url="https://scoutsaus-my.sharepoint.com/personal/25055_scoutsqld_au/Documents/Youth Program Team/"/>
    </mc:Choice>
  </mc:AlternateContent>
  <xr:revisionPtr revIDLastSave="1825" documentId="13_ncr:1_{758E8AF4-27DE-4C9C-B912-FFC5D9A44096}" xr6:coauthVersionLast="47" xr6:coauthVersionMax="47" xr10:uidLastSave="{253326EF-82E8-7544-A23E-D7A941F5FE68}"/>
  <bookViews>
    <workbookView xWindow="0" yWindow="780" windowWidth="36000" windowHeight="22600" tabRatio="452" activeTab="3" xr2:uid="{516B5B0C-1A8D-4B98-A0B8-68BDB20D4F6B}"/>
  </bookViews>
  <sheets>
    <sheet name="Readme" sheetId="12" r:id="rId1"/>
    <sheet name="Roadmap" sheetId="11" r:id="rId2"/>
    <sheet name="Manual Dates" sheetId="10" r:id="rId3"/>
    <sheet name="2027 Weekly Planner" sheetId="13" r:id="rId4"/>
    <sheet name="Dates and Sources" sheetId="14" state="hidden" r:id="rId5"/>
    <sheet name="AllDates" sheetId="9" state="hidden" r:id="rId6"/>
    <sheet name="YPT Work Items" sheetId="3" state="hidden" r:id="rId7"/>
    <sheet name="YPT Operational Actions" sheetId="7" state="hidden" r:id="rId8"/>
    <sheet name="InfoDates" sheetId="8" state="hidden" r:id="rId9"/>
  </sheets>
  <definedNames>
    <definedName name="_xlnm._FilterDatabase" localSheetId="3" hidden="1">'2027 Weekly Planner'!$A$4:$D$4</definedName>
    <definedName name="_xlnm._FilterDatabase" localSheetId="4" hidden="1">'Dates and Sources'!$A$3:$G$32</definedName>
    <definedName name="_xlnm._FilterDatabase" localSheetId="1" hidden="1">Roadmap!$B$5:$H$323</definedName>
    <definedName name="category" localSheetId="1">Roadmap!$G1</definedName>
    <definedName name="category">#REF!</definedName>
    <definedName name="display_year" localSheetId="1">Roadmap!$S$2</definedName>
    <definedName name="duration" localSheetId="1">Roadmap!$F1</definedName>
    <definedName name="end_date" localSheetId="1">Roadmap!$E1</definedName>
    <definedName name="ExternalData_1" localSheetId="8" hidden="1">InfoDates!$A$2:$AM$79</definedName>
    <definedName name="ExternalData_1" localSheetId="7" hidden="1">'YPT Operational Actions'!$A$2:$X$14</definedName>
    <definedName name="ExternalData_1" localSheetId="6" hidden="1">'YPT Work Items'!$A$2:$AJ$299</definedName>
    <definedName name="ExternalData_2" localSheetId="5" hidden="1">AllDates!$A$2:$BI$376</definedName>
    <definedName name="Milestone_Marker">#REF!</definedName>
    <definedName name="month" localSheetId="1">Roadmap!A$5</definedName>
    <definedName name="next_month" localSheetId="1">Roadmap!B$5</definedName>
    <definedName name="_xlnm.Print_Area" localSheetId="3">'2027 Weekly Planner'!$A$1:$BE$35</definedName>
    <definedName name="_xlnm.Print_Area" localSheetId="0">Readme!$A$1:$K$41</definedName>
    <definedName name="_xlnm.Print_Titles" localSheetId="3">'2027 Weekly Planner'!$1:$4</definedName>
    <definedName name="_xlnm.Print_Titles" localSheetId="1">Roadmap!$1:$5</definedName>
    <definedName name="Project_Start">#REF!</definedName>
    <definedName name="project_start_date" localSheetId="1">Roadmap!$R$1</definedName>
    <definedName name="Scrolling_Increment">#REF!</definedName>
    <definedName name="start_date" localSheetId="1">Roadmap!$D1</definedName>
  </definedName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19" i="11" l="1"/>
  <c r="F320" i="11"/>
  <c r="F321" i="11"/>
  <c r="F322" i="11"/>
  <c r="F323" i="11"/>
  <c r="F324" i="11"/>
  <c r="F325" i="11"/>
  <c r="F326" i="11"/>
  <c r="F327" i="11"/>
  <c r="F328" i="11"/>
  <c r="F329" i="11"/>
  <c r="F330" i="11"/>
  <c r="F331" i="11"/>
  <c r="F332" i="11"/>
  <c r="F333" i="11"/>
  <c r="F334" i="11"/>
  <c r="F335" i="11"/>
  <c r="F336" i="11"/>
  <c r="F337" i="11"/>
  <c r="F338" i="11"/>
  <c r="F339" i="11"/>
  <c r="F340" i="11"/>
  <c r="F341" i="11"/>
  <c r="F342" i="11"/>
  <c r="F343" i="11"/>
  <c r="F344" i="11"/>
  <c r="F345" i="11"/>
  <c r="F346" i="11"/>
  <c r="F347" i="11"/>
  <c r="F348" i="11"/>
  <c r="F349" i="11"/>
  <c r="F350" i="11"/>
  <c r="F351" i="11"/>
  <c r="F352" i="11"/>
  <c r="F353" i="11"/>
  <c r="F354" i="11"/>
  <c r="F355" i="11"/>
  <c r="F356" i="11"/>
  <c r="F357" i="11"/>
  <c r="F358" i="11"/>
  <c r="F359" i="11"/>
  <c r="F360" i="11"/>
  <c r="F361" i="11"/>
  <c r="F362" i="11"/>
  <c r="F363" i="11"/>
  <c r="F364" i="11"/>
  <c r="F365" i="11"/>
  <c r="F366" i="11"/>
  <c r="F367" i="11"/>
  <c r="F368" i="11"/>
  <c r="F369" i="11"/>
  <c r="F370" i="11"/>
  <c r="F371" i="11"/>
  <c r="F372" i="11"/>
  <c r="F373" i="11"/>
  <c r="F374" i="11"/>
  <c r="F375" i="11"/>
  <c r="F376" i="11"/>
  <c r="F377" i="11"/>
  <c r="F378" i="11"/>
  <c r="F379" i="11"/>
  <c r="AK299" i="3"/>
  <c r="AK221" i="3"/>
  <c r="AK37" i="3"/>
  <c r="AK205" i="3"/>
  <c r="AK206" i="3"/>
  <c r="AK124" i="3"/>
  <c r="AK80" i="3"/>
  <c r="AK138" i="3"/>
  <c r="AK133" i="3"/>
  <c r="AK36" i="3"/>
  <c r="AK30" i="3"/>
  <c r="AK170" i="3"/>
  <c r="AK119" i="3"/>
  <c r="AK250" i="3"/>
  <c r="AK251" i="3"/>
  <c r="AK252" i="3"/>
  <c r="AK75" i="3"/>
  <c r="AK148" i="3"/>
  <c r="AK115" i="3"/>
  <c r="AK116" i="3"/>
  <c r="AK135" i="3"/>
  <c r="AK179" i="3"/>
  <c r="AK42" i="3"/>
  <c r="AK72" i="3"/>
  <c r="AK125" i="3"/>
  <c r="AK210" i="3"/>
  <c r="AK270" i="3"/>
  <c r="AK31" i="3"/>
  <c r="AK94" i="3"/>
  <c r="AK171" i="3"/>
  <c r="AK141" i="3"/>
  <c r="AK165" i="3"/>
  <c r="AK200" i="3"/>
  <c r="AK153" i="3"/>
  <c r="AK154" i="3"/>
  <c r="AK60" i="3"/>
  <c r="AK155" i="3"/>
  <c r="AK50" i="3"/>
  <c r="AK156" i="3"/>
  <c r="AK267" i="3"/>
  <c r="AK91" i="3"/>
  <c r="AK14" i="3"/>
  <c r="AK209" i="3"/>
  <c r="AK296" i="3"/>
  <c r="AK295" i="3"/>
  <c r="AK79" i="3"/>
  <c r="AK77" i="3"/>
  <c r="AK78" i="3"/>
  <c r="AK76" i="3"/>
  <c r="AK70" i="3"/>
  <c r="AK237" i="3"/>
  <c r="AK96" i="3"/>
  <c r="AK269" i="3"/>
  <c r="AK180" i="3"/>
  <c r="AK188" i="3"/>
  <c r="AK167" i="3"/>
  <c r="AK29" i="3"/>
  <c r="AK65" i="3"/>
  <c r="AK86" i="3"/>
  <c r="AK109" i="3"/>
  <c r="AK134" i="3"/>
  <c r="AK151" i="3"/>
  <c r="AK196" i="3"/>
  <c r="AK219" i="3"/>
  <c r="AK249" i="3"/>
  <c r="AK280" i="3"/>
  <c r="AK15" i="3"/>
  <c r="AK38" i="3"/>
  <c r="AK71" i="3"/>
  <c r="AK93" i="3"/>
  <c r="AK118" i="3"/>
  <c r="AK137" i="3"/>
  <c r="AK166" i="3"/>
  <c r="AK203" i="3"/>
  <c r="AK225" i="3"/>
  <c r="AK260" i="3"/>
  <c r="AK287" i="3"/>
  <c r="AK292" i="3"/>
  <c r="AK12" i="3"/>
  <c r="AK25" i="3"/>
  <c r="AK62" i="3"/>
  <c r="AK88" i="3"/>
  <c r="AK106" i="3"/>
  <c r="AK129" i="3"/>
  <c r="AK162" i="3"/>
  <c r="AK192" i="3"/>
  <c r="AK223" i="3"/>
  <c r="AK254" i="3"/>
  <c r="AK276" i="3"/>
  <c r="AK294" i="3"/>
  <c r="AK13" i="3"/>
  <c r="AK27" i="3"/>
  <c r="AK84" i="3"/>
  <c r="AK131" i="3"/>
  <c r="AK149" i="3"/>
  <c r="AK194" i="3"/>
  <c r="AK256" i="3"/>
  <c r="AK278" i="3"/>
  <c r="AK286" i="3"/>
  <c r="AK26" i="3"/>
  <c r="AK63" i="3"/>
  <c r="AK89" i="3"/>
  <c r="AK107" i="3"/>
  <c r="AK130" i="3"/>
  <c r="AK163" i="3"/>
  <c r="AK193" i="3"/>
  <c r="AK255" i="3"/>
  <c r="AK277" i="3"/>
  <c r="AK28" i="3"/>
  <c r="AK64" i="3"/>
  <c r="AK85" i="3"/>
  <c r="AK108" i="3"/>
  <c r="AK132" i="3"/>
  <c r="AK150" i="3"/>
  <c r="AK195" i="3"/>
  <c r="AK218" i="3"/>
  <c r="AK257" i="3"/>
  <c r="AK279" i="3"/>
  <c r="AK92" i="3"/>
  <c r="AK11" i="3"/>
  <c r="AK24" i="3"/>
  <c r="AK61" i="3"/>
  <c r="AK87" i="3"/>
  <c r="AK105" i="3"/>
  <c r="AK136" i="3"/>
  <c r="AK160" i="3"/>
  <c r="AK191" i="3"/>
  <c r="AK222" i="3"/>
  <c r="AK253" i="3"/>
  <c r="AK275" i="3"/>
  <c r="AK293" i="3"/>
  <c r="AK211" i="3"/>
  <c r="AK229" i="3"/>
  <c r="AK161" i="3"/>
  <c r="AK143" i="3"/>
  <c r="AK140" i="3"/>
  <c r="AK34" i="3"/>
  <c r="AK32" i="3"/>
  <c r="AK39" i="3"/>
  <c r="AK43" i="3"/>
  <c r="AK44" i="3"/>
  <c r="AK45" i="3"/>
  <c r="AK46" i="3"/>
  <c r="AK7" i="3"/>
  <c r="AK121" i="3"/>
  <c r="AK144" i="3"/>
  <c r="AK145" i="3"/>
  <c r="AK265" i="3"/>
  <c r="AK8" i="3"/>
  <c r="AK239" i="3"/>
  <c r="AK240" i="3"/>
  <c r="AK181" i="3"/>
  <c r="AK9" i="3"/>
  <c r="AK18" i="3"/>
  <c r="AK99" i="3"/>
  <c r="AK290" i="3"/>
  <c r="AK184" i="3"/>
  <c r="AK20" i="3"/>
  <c r="AK21" i="3"/>
  <c r="AK213" i="3"/>
  <c r="AK214" i="3"/>
  <c r="AK246" i="3"/>
  <c r="AK82" i="3"/>
  <c r="AK186" i="3"/>
  <c r="AK236" i="3"/>
  <c r="AK16" i="3"/>
  <c r="AK212" i="3"/>
  <c r="AK17" i="3"/>
  <c r="AK97" i="3"/>
  <c r="AK98" i="3"/>
  <c r="AK288" i="3"/>
  <c r="AK289" i="3"/>
  <c r="AK241" i="3"/>
  <c r="AK242" i="3"/>
  <c r="AK182" i="3"/>
  <c r="AK10" i="3"/>
  <c r="AK19" i="3"/>
  <c r="AK100" i="3"/>
  <c r="AK291" i="3"/>
  <c r="AK185" i="3"/>
  <c r="AK22" i="3"/>
  <c r="AK23" i="3"/>
  <c r="AK215" i="3"/>
  <c r="AK216" i="3"/>
  <c r="AK247" i="3"/>
  <c r="AK83" i="3"/>
  <c r="AK187" i="3"/>
  <c r="AK35" i="3"/>
  <c r="AK33" i="3"/>
  <c r="AK40" i="3"/>
  <c r="AK47" i="3"/>
  <c r="AK48" i="3"/>
  <c r="AK56" i="3"/>
  <c r="AK57" i="3"/>
  <c r="AK58" i="3"/>
  <c r="AK59" i="3"/>
  <c r="AK281" i="3"/>
  <c r="AK3" i="3"/>
  <c r="AK4" i="3"/>
  <c r="AK5" i="3"/>
  <c r="AK6" i="3"/>
  <c r="AK49" i="3"/>
  <c r="AK51" i="3"/>
  <c r="AK52" i="3"/>
  <c r="AK53" i="3"/>
  <c r="AK54" i="3"/>
  <c r="AK66" i="3"/>
  <c r="AK67" i="3"/>
  <c r="AK68" i="3"/>
  <c r="AK73" i="3"/>
  <c r="AK74" i="3"/>
  <c r="AK81" i="3"/>
  <c r="AK90" i="3"/>
  <c r="AK95" i="3"/>
  <c r="AK101" i="3"/>
  <c r="AK102" i="3"/>
  <c r="AK103" i="3"/>
  <c r="AK104" i="3"/>
  <c r="AK110" i="3"/>
  <c r="AK112" i="3"/>
  <c r="AK113" i="3"/>
  <c r="AK114" i="3"/>
  <c r="AK117" i="3"/>
  <c r="AK120" i="3"/>
  <c r="AK122" i="3"/>
  <c r="AK123" i="3"/>
  <c r="AK126" i="3"/>
  <c r="AK127" i="3"/>
  <c r="AK128" i="3"/>
  <c r="AK139" i="3"/>
  <c r="AK69" i="3"/>
  <c r="AK146" i="3"/>
  <c r="AK147" i="3"/>
  <c r="AK157" i="3"/>
  <c r="AK164" i="3"/>
  <c r="AK158" i="3"/>
  <c r="AK168" i="3"/>
  <c r="AK183" i="3"/>
  <c r="AK169" i="3"/>
  <c r="AK172" i="3"/>
  <c r="AK176" i="3"/>
  <c r="AK178" i="3"/>
  <c r="AK190" i="3"/>
  <c r="AK201" i="3"/>
  <c r="AK202" i="3"/>
  <c r="AK197" i="3"/>
  <c r="AK217" i="3"/>
  <c r="AK230" i="3"/>
  <c r="AK243" i="3"/>
  <c r="AK234" i="3"/>
  <c r="AK235" i="3"/>
  <c r="AK244" i="3"/>
  <c r="AK245" i="3"/>
  <c r="AK248" i="3"/>
  <c r="AK258" i="3"/>
  <c r="AK259" i="3"/>
  <c r="AK261" i="3"/>
  <c r="AK262" i="3"/>
  <c r="AK264" i="3"/>
  <c r="AK266" i="3"/>
  <c r="AK268" i="3"/>
  <c r="AK271" i="3"/>
  <c r="AK272" i="3"/>
  <c r="AK273" i="3"/>
  <c r="AK274" i="3"/>
  <c r="AK282" i="3"/>
  <c r="AK283" i="3"/>
  <c r="AK284" i="3"/>
  <c r="AK285" i="3"/>
  <c r="AK41" i="3"/>
  <c r="AK55" i="3"/>
  <c r="AK111" i="3"/>
  <c r="AK198" i="3"/>
  <c r="AK142" i="3"/>
  <c r="AK152" i="3"/>
  <c r="AK207" i="3"/>
  <c r="AK297" i="3"/>
  <c r="AK177" i="3"/>
  <c r="AK159" i="3"/>
  <c r="AK173" i="3"/>
  <c r="AK174" i="3"/>
  <c r="AK175" i="3"/>
  <c r="AK189" i="3"/>
  <c r="AK199" i="3"/>
  <c r="AK204" i="3"/>
  <c r="AK208" i="3"/>
  <c r="AK220" i="3"/>
  <c r="AK224" i="3"/>
  <c r="AK226" i="3"/>
  <c r="AK227" i="3"/>
  <c r="AK228" i="3"/>
  <c r="AK231" i="3"/>
  <c r="AK232" i="3"/>
  <c r="AK233" i="3"/>
  <c r="AK238" i="3"/>
  <c r="AK263" i="3"/>
  <c r="AK298" i="3"/>
  <c r="B6" i="11" a="1"/>
  <c r="D6" i="11" a="1"/>
  <c r="E6" i="11" a="1"/>
  <c r="C6" i="11" a="1"/>
  <c r="H6" i="11" a="1"/>
  <c r="G6" i="11" a="1"/>
  <c r="I5" i="11"/>
  <c r="I4" i="11"/>
  <c r="AM3" i="3" a="1"/>
  <c r="F280" i="11"/>
  <c r="F318" i="11"/>
  <c r="F317" i="11"/>
  <c r="F316" i="11"/>
  <c r="F315" i="11"/>
  <c r="F314" i="11"/>
  <c r="F313" i="11"/>
  <c r="F312" i="11"/>
  <c r="F311" i="11"/>
  <c r="F310" i="11"/>
  <c r="F309" i="11"/>
  <c r="F308" i="11"/>
  <c r="F307" i="11"/>
  <c r="F306" i="11"/>
  <c r="F305" i="11"/>
  <c r="F304" i="11"/>
  <c r="F303" i="11"/>
  <c r="F302" i="11"/>
  <c r="F301" i="11"/>
  <c r="F300" i="11"/>
  <c r="F299" i="11"/>
  <c r="F298" i="11"/>
  <c r="F297" i="11"/>
  <c r="F296" i="11"/>
  <c r="F295" i="11"/>
  <c r="F294" i="11"/>
  <c r="F293" i="11"/>
  <c r="F292" i="11"/>
  <c r="F291" i="11"/>
  <c r="F290" i="11"/>
  <c r="F289" i="11"/>
  <c r="F288" i="11"/>
  <c r="F287" i="11"/>
  <c r="F286" i="11"/>
  <c r="F285" i="11"/>
  <c r="F284" i="11"/>
  <c r="F283" i="11"/>
  <c r="F282" i="11"/>
  <c r="F281" i="11"/>
  <c r="F241" i="11"/>
  <c r="F279" i="11"/>
  <c r="F278" i="11"/>
  <c r="F277" i="11"/>
  <c r="F276" i="11"/>
  <c r="F275" i="11"/>
  <c r="F274" i="11"/>
  <c r="F273" i="11"/>
  <c r="F272" i="11"/>
  <c r="F271" i="11"/>
  <c r="F270" i="11"/>
  <c r="F269" i="11"/>
  <c r="F268" i="11"/>
  <c r="F267" i="11"/>
  <c r="F266" i="11"/>
  <c r="F265" i="11"/>
  <c r="F264" i="11"/>
  <c r="F263" i="11"/>
  <c r="F262" i="11"/>
  <c r="F261" i="11"/>
  <c r="F260" i="11"/>
  <c r="F259" i="11"/>
  <c r="F258" i="11"/>
  <c r="F257" i="11"/>
  <c r="F256" i="11"/>
  <c r="F255" i="11"/>
  <c r="F254" i="11"/>
  <c r="F253" i="11"/>
  <c r="F252" i="11"/>
  <c r="F251" i="11"/>
  <c r="F250" i="11"/>
  <c r="F249" i="11"/>
  <c r="F248" i="11"/>
  <c r="F247" i="11"/>
  <c r="F246" i="11"/>
  <c r="F245" i="11"/>
  <c r="F244" i="11"/>
  <c r="F243" i="11"/>
  <c r="F242" i="11"/>
  <c r="F240" i="11"/>
  <c r="F239" i="11"/>
  <c r="F238" i="11"/>
  <c r="F237" i="11"/>
  <c r="F236" i="11"/>
  <c r="F235" i="11"/>
  <c r="F234" i="11"/>
  <c r="F233" i="11"/>
  <c r="F232" i="11"/>
  <c r="F231" i="11"/>
  <c r="F230" i="11"/>
  <c r="F229" i="11"/>
  <c r="F228" i="11"/>
  <c r="F227" i="11"/>
  <c r="F226" i="11"/>
  <c r="F225" i="11"/>
  <c r="F224" i="11"/>
  <c r="F223" i="11"/>
  <c r="F222" i="11"/>
  <c r="F221" i="11"/>
  <c r="F220" i="11"/>
  <c r="F219" i="11"/>
  <c r="F218" i="11"/>
  <c r="F217" i="11"/>
  <c r="F216" i="11"/>
  <c r="F215" i="11"/>
  <c r="F214" i="11"/>
  <c r="F213" i="11"/>
  <c r="F212" i="11"/>
  <c r="F211" i="11"/>
  <c r="F210" i="11"/>
  <c r="F209" i="11"/>
  <c r="F208" i="11"/>
  <c r="F207" i="11"/>
  <c r="F206" i="11"/>
  <c r="F205" i="11"/>
  <c r="F204" i="11"/>
  <c r="F203" i="11"/>
  <c r="F202" i="11"/>
  <c r="F201" i="11"/>
  <c r="F200" i="11"/>
  <c r="F199" i="11"/>
  <c r="F198" i="11"/>
  <c r="F197" i="11"/>
  <c r="F196" i="11"/>
  <c r="F195" i="11"/>
  <c r="F194" i="11"/>
  <c r="F193" i="11"/>
  <c r="F192" i="11"/>
  <c r="F191" i="11"/>
  <c r="F190" i="11"/>
  <c r="F189" i="11"/>
  <c r="F188" i="11"/>
  <c r="F187" i="11"/>
  <c r="F186" i="11"/>
  <c r="F185" i="11"/>
  <c r="F184" i="11"/>
  <c r="F183" i="11"/>
  <c r="F182" i="11"/>
  <c r="F181" i="11"/>
  <c r="F180" i="11"/>
  <c r="F179" i="11"/>
  <c r="F178" i="11"/>
  <c r="F177" i="11"/>
  <c r="F176" i="11"/>
  <c r="F175" i="11"/>
  <c r="F174" i="11"/>
  <c r="F173" i="11"/>
  <c r="F172" i="11"/>
  <c r="F171" i="11"/>
  <c r="F170" i="11"/>
  <c r="F169" i="11"/>
  <c r="F168" i="11"/>
  <c r="F167" i="11"/>
  <c r="F166" i="11"/>
  <c r="F165" i="11"/>
  <c r="F164" i="11"/>
  <c r="F163" i="11"/>
  <c r="F162" i="11"/>
  <c r="F161" i="11"/>
  <c r="F160" i="11"/>
  <c r="F159" i="11"/>
  <c r="F158" i="11"/>
  <c r="F157" i="11"/>
  <c r="F156" i="11"/>
  <c r="F155" i="11"/>
  <c r="F154" i="11"/>
  <c r="F153" i="11"/>
  <c r="F152" i="11"/>
  <c r="F151" i="11"/>
  <c r="F150" i="11"/>
  <c r="F149" i="11"/>
  <c r="F148" i="11"/>
  <c r="F147" i="11"/>
  <c r="F146" i="11"/>
  <c r="F145" i="11"/>
  <c r="F144" i="11"/>
  <c r="F143" i="11"/>
  <c r="F142" i="11"/>
  <c r="F141" i="11"/>
  <c r="F140" i="11"/>
  <c r="F139" i="11"/>
  <c r="F138" i="11"/>
  <c r="F137" i="11"/>
  <c r="F136" i="11"/>
  <c r="F135" i="11"/>
  <c r="F134" i="11"/>
  <c r="F133" i="11"/>
  <c r="F132" i="11"/>
  <c r="F131" i="11"/>
  <c r="F130" i="11"/>
  <c r="F129" i="11"/>
  <c r="F128" i="11"/>
  <c r="F127" i="11"/>
  <c r="F126" i="11"/>
  <c r="F125" i="11"/>
  <c r="F124" i="11"/>
  <c r="F123" i="11"/>
  <c r="F122" i="11"/>
  <c r="F121" i="11"/>
  <c r="F120" i="11"/>
  <c r="F119" i="11"/>
  <c r="F118" i="11"/>
  <c r="F117" i="11"/>
  <c r="F116" i="11"/>
  <c r="F115" i="11"/>
  <c r="F114" i="11"/>
  <c r="F113" i="11"/>
  <c r="F112" i="11"/>
  <c r="F111" i="11"/>
  <c r="F110" i="11"/>
  <c r="F109" i="11"/>
  <c r="F108" i="11"/>
  <c r="F107" i="11"/>
  <c r="F106" i="11"/>
  <c r="F105" i="11"/>
  <c r="F104" i="11"/>
  <c r="F103" i="11"/>
  <c r="F102" i="11"/>
  <c r="F101" i="11"/>
  <c r="F100" i="11"/>
  <c r="F99" i="11"/>
  <c r="F98" i="11"/>
  <c r="F97" i="11"/>
  <c r="F96" i="11"/>
  <c r="F95" i="11"/>
  <c r="F94" i="11"/>
  <c r="F93" i="11"/>
  <c r="F92" i="11"/>
  <c r="F91" i="11"/>
  <c r="F90" i="11"/>
  <c r="F89" i="11"/>
  <c r="F88" i="11"/>
  <c r="F87" i="11"/>
  <c r="F86" i="11"/>
  <c r="F85" i="11"/>
  <c r="F84" i="11"/>
  <c r="F83" i="11"/>
  <c r="F82" i="11"/>
  <c r="F81" i="11"/>
  <c r="F80" i="11"/>
  <c r="F79" i="11"/>
  <c r="F78" i="11"/>
  <c r="F77" i="11"/>
  <c r="F76" i="11"/>
  <c r="F75" i="11"/>
  <c r="F74" i="11"/>
  <c r="F73" i="11"/>
  <c r="F72" i="11"/>
  <c r="F71" i="11"/>
  <c r="F70" i="11"/>
  <c r="F69" i="11"/>
  <c r="F68" i="11"/>
  <c r="F67" i="11"/>
  <c r="F66" i="11"/>
  <c r="F65" i="11"/>
  <c r="F64" i="11"/>
  <c r="F63" i="11"/>
  <c r="F62" i="11"/>
  <c r="F61" i="11"/>
  <c r="F60" i="11"/>
  <c r="F59" i="11"/>
  <c r="F58" i="11"/>
  <c r="F57" i="11"/>
  <c r="F56" i="11"/>
  <c r="F55" i="11"/>
  <c r="F54" i="11"/>
  <c r="F53" i="11"/>
  <c r="F52" i="11"/>
  <c r="F51" i="11"/>
  <c r="F50" i="11"/>
  <c r="F49" i="11"/>
  <c r="F48" i="11"/>
  <c r="F47" i="11"/>
  <c r="F46" i="11"/>
  <c r="F45" i="11"/>
  <c r="F44" i="11"/>
  <c r="F43" i="11"/>
  <c r="F42" i="11"/>
  <c r="F41" i="11"/>
  <c r="F40" i="11"/>
  <c r="F39" i="11"/>
  <c r="F38" i="11"/>
  <c r="F37" i="11"/>
  <c r="F36" i="11"/>
  <c r="F35" i="11"/>
  <c r="F34" i="11"/>
  <c r="F33" i="11"/>
  <c r="F32" i="11"/>
  <c r="F31" i="11"/>
  <c r="F30" i="11"/>
  <c r="F29" i="11"/>
  <c r="F28" i="11"/>
  <c r="F27" i="11"/>
  <c r="F26" i="11"/>
  <c r="F25" i="11"/>
  <c r="F24" i="11"/>
  <c r="F23" i="11"/>
  <c r="F22" i="11"/>
  <c r="F21" i="11"/>
  <c r="F20" i="11"/>
  <c r="F19" i="11"/>
  <c r="F18" i="11"/>
  <c r="F17" i="11"/>
  <c r="F16" i="11"/>
  <c r="F15" i="11"/>
  <c r="F14" i="11"/>
  <c r="F13" i="11"/>
  <c r="F12" i="11"/>
  <c r="F11" i="11"/>
  <c r="F10" i="11"/>
  <c r="F9" i="11"/>
  <c r="F8" i="11"/>
  <c r="F7" i="11"/>
  <c r="J5" i="11"/>
  <c r="K5" i="11"/>
  <c r="L5" i="11"/>
  <c r="M5" i="11"/>
  <c r="N5" i="11"/>
  <c r="O5" i="11"/>
  <c r="P5" i="11"/>
  <c r="Q5" i="11"/>
  <c r="R5" i="11"/>
  <c r="S5" i="11"/>
  <c r="T5" i="11"/>
  <c r="U5" i="11"/>
  <c r="U4" i="11"/>
  <c r="V5" i="11"/>
  <c r="W5" i="11"/>
  <c r="X5" i="11"/>
  <c r="Y5" i="11"/>
  <c r="Z5" i="11"/>
  <c r="AA5" i="11"/>
  <c r="AB5" i="11"/>
  <c r="AC5" i="11"/>
  <c r="AD5" i="11"/>
  <c r="AE5" i="11"/>
  <c r="AF5" i="11"/>
  <c r="AG5" i="11"/>
  <c r="AG4" i="11"/>
  <c r="AH5" i="11"/>
  <c r="AI5" i="11"/>
  <c r="AJ5" i="11"/>
  <c r="AK5" i="11"/>
  <c r="AL5" i="11"/>
  <c r="AM5" i="11"/>
  <c r="AN5" i="11"/>
  <c r="AO5" i="11"/>
  <c r="AP5" i="11"/>
  <c r="AQ5" i="11"/>
  <c r="AR5" i="11"/>
  <c r="F6" i="11"/>
  <c r="G6" i="12"/>
  <c r="H6" i="12"/>
  <c r="J6" i="12"/>
  <c r="I6"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Copilot</author>
  </authors>
  <commentList>
    <comment ref="B5" authorId="0" shapeId="0" xr:uid="{48831E3E-EBF3-4EA3-A3ED-F196C0FF9FC0}">
      <text>
        <r>
          <rPr>
            <sz val="11"/>
            <color theme="1"/>
            <rFont val="Calibri"/>
            <family val="2"/>
            <scheme val="minor"/>
          </rPr>
          <t>Source: https://www.qld.gov.au/recreation/travel/holidays/public</t>
        </r>
      </text>
    </comment>
    <comment ref="B6" authorId="0" shapeId="0" xr:uid="{5CBC11DA-F188-4FC8-A4E6-572509264402}">
      <text>
        <r>
          <rPr>
            <sz val="11"/>
            <color rgb="FF000000"/>
            <rFont val="Calibri"/>
            <family val="2"/>
          </rPr>
          <t>Source: https://education.qld.gov.au/about-us/calendar/future-dates</t>
        </r>
      </text>
    </comment>
    <comment ref="B7" authorId="0" shapeId="0" xr:uid="{0169F98F-EA66-404B-82F7-BEFE859037FC}">
      <text>
        <r>
          <rPr>
            <sz val="11"/>
            <color theme="1"/>
            <rFont val="Calibri"/>
            <family val="2"/>
            <scheme val="minor"/>
          </rPr>
          <t>Source: https://education.qld.gov.au/about-us/calendar/future-dates</t>
        </r>
      </text>
    </comment>
    <comment ref="B8" authorId="0" shapeId="0" xr:uid="{7395BA2F-DBEF-45A5-A932-7605ACAD7545}">
      <text>
        <r>
          <rPr>
            <sz val="11"/>
            <color theme="1"/>
            <rFont val="Calibri"/>
            <family val="2"/>
            <scheme val="minor"/>
          </rPr>
          <t>Source: https://education.qld.gov.au/about-us/calendar/future-dates</t>
        </r>
      </text>
    </comment>
    <comment ref="B9" authorId="0" shapeId="0" xr:uid="{99AC3762-C4E5-46DF-861F-E22E4AA266B3}">
      <text>
        <r>
          <rPr>
            <sz val="11"/>
            <color theme="1"/>
            <rFont val="Calibri"/>
            <family val="2"/>
            <scheme val="minor"/>
          </rPr>
          <t>Source: https://www.qld.gov.au/recreation/travel/holidays/public</t>
        </r>
      </text>
    </comment>
    <comment ref="B10" authorId="0" shapeId="0" xr:uid="{FBFA660E-BFCD-4CE1-B3F6-5BFC4783B267}">
      <text>
        <r>
          <rPr>
            <sz val="11"/>
            <color theme="1"/>
            <rFont val="Calibri"/>
            <family val="2"/>
            <scheme val="minor"/>
          </rPr>
          <t>Source: https://education.qld.gov.au/about-us/calendar/future-dates</t>
        </r>
      </text>
    </comment>
    <comment ref="B12" authorId="0" shapeId="0" xr:uid="{3519911A-82A3-42B8-86B9-8D2BF463A049}">
      <text>
        <r>
          <rPr>
            <sz val="11"/>
            <color theme="1"/>
            <rFont val="Calibri"/>
            <family val="2"/>
            <scheme val="minor"/>
          </rPr>
          <t>Source: https://education.qld.gov.au/about-us/calendar/future-dates</t>
        </r>
      </text>
    </comment>
    <comment ref="B13" authorId="0" shapeId="0" xr:uid="{70E1B77E-DB39-4793-9597-FA40A2D7FA8A}">
      <text>
        <r>
          <rPr>
            <sz val="11"/>
            <color theme="1"/>
            <rFont val="Calibri"/>
            <family val="2"/>
            <scheme val="minor"/>
          </rPr>
          <t>Source: https://www.qld.gov.au/recreation/travel/holidays/public</t>
        </r>
      </text>
    </comment>
    <comment ref="B14" authorId="0" shapeId="0" xr:uid="{1C01FDCF-BB6C-4F55-9F2A-E1506E15854E}">
      <text>
        <r>
          <rPr>
            <sz val="11"/>
            <color theme="1"/>
            <rFont val="Calibri"/>
            <family val="2"/>
            <scheme val="minor"/>
          </rPr>
          <t>Source: https://www.qld.gov.au/recreation/travel/holidays/public</t>
        </r>
      </text>
    </comment>
    <comment ref="B15" authorId="0" shapeId="0" xr:uid="{ADDCB88E-BB6A-4E36-A6D4-1550BF0D0B37}">
      <text>
        <r>
          <rPr>
            <sz val="11"/>
            <color rgb="FF000000"/>
            <rFont val="Calibri"/>
            <family val="2"/>
          </rPr>
          <t>Source: https://www.qld.gov.au/recreation/travel/holidays/public</t>
        </r>
      </text>
    </comment>
    <comment ref="B16" authorId="0" shapeId="0" xr:uid="{92CEB686-D452-46B8-9DA1-BE9D532C2D52}">
      <text>
        <r>
          <rPr>
            <sz val="11"/>
            <color theme="1"/>
            <rFont val="Calibri"/>
            <family val="2"/>
            <scheme val="minor"/>
          </rPr>
          <t>Source: https://www.qld.gov.au/recreation/travel/holidays/public</t>
        </r>
      </text>
    </comment>
    <comment ref="B17" authorId="0" shapeId="0" xr:uid="{E7629D37-52C1-464B-AA6E-ADEA4EEA8D46}">
      <text>
        <r>
          <rPr>
            <sz val="11"/>
            <color theme="1"/>
            <rFont val="Calibri"/>
            <family val="2"/>
            <scheme val="minor"/>
          </rPr>
          <t>Source: https://education.qld.gov.au/about-us/calendar/future-dates</t>
        </r>
      </text>
    </comment>
    <comment ref="B18" authorId="0" shapeId="0" xr:uid="{6F271A13-1D58-40BB-BFCB-BDE092269B45}">
      <text>
        <r>
          <rPr>
            <sz val="11"/>
            <color theme="1"/>
            <rFont val="Calibri"/>
            <family val="2"/>
            <scheme val="minor"/>
          </rPr>
          <t>Source: https://education.qld.gov.au/about-us/calendar/future-dates</t>
        </r>
      </text>
    </comment>
    <comment ref="B19" authorId="0" shapeId="0" xr:uid="{5413F92E-423B-4FED-974C-1AF8F01C58FC}">
      <text>
        <r>
          <rPr>
            <sz val="11"/>
            <color theme="1"/>
            <rFont val="Calibri"/>
            <family val="2"/>
            <scheme val="minor"/>
          </rPr>
          <t>Source: https://education.qld.gov.au/about-us/calendar/future-dates</t>
        </r>
      </text>
    </comment>
    <comment ref="B20" authorId="0" shapeId="0" xr:uid="{AAC48861-679A-4D9D-AF1B-304A229B09DA}">
      <text>
        <r>
          <rPr>
            <sz val="11"/>
            <color theme="1"/>
            <rFont val="Calibri"/>
            <family val="2"/>
            <scheme val="minor"/>
          </rPr>
          <t>Source: https://www.qld.gov.au/recreation/travel/holidays/public</t>
        </r>
      </text>
    </comment>
    <comment ref="B21" authorId="0" shapeId="0" xr:uid="{B1B20354-7057-4653-A4C7-B742DAB69F79}">
      <text>
        <r>
          <rPr>
            <sz val="11"/>
            <color theme="1"/>
            <rFont val="Calibri"/>
            <family val="2"/>
            <scheme val="minor"/>
          </rPr>
          <t>Source: https://www.qld.gov.au/recreation/travel/holidays/public</t>
        </r>
      </text>
    </comment>
    <comment ref="B22" authorId="0" shapeId="0" xr:uid="{BF018619-8EC3-460F-8688-264F90B5A66F}">
      <text>
        <r>
          <rPr>
            <sz val="11"/>
            <color theme="1"/>
            <rFont val="Calibri"/>
            <family val="2"/>
            <scheme val="minor"/>
          </rPr>
          <t>Source: https://education.qld.gov.au/about-us/calendar/future-dates</t>
        </r>
      </text>
    </comment>
    <comment ref="B23" authorId="0" shapeId="0" xr:uid="{90944C46-048B-4491-A66F-57A4EEA3F80C}">
      <text>
        <r>
          <rPr>
            <sz val="11"/>
            <color theme="1"/>
            <rFont val="Calibri"/>
            <family val="2"/>
            <scheme val="minor"/>
          </rPr>
          <t>Source: https://education.qld.gov.au/about-us/calendar/future-dates</t>
        </r>
      </text>
    </comment>
    <comment ref="B24" authorId="0" shapeId="0" xr:uid="{859669B5-C518-48F8-A761-17464A433AEF}">
      <text>
        <r>
          <rPr>
            <sz val="11"/>
            <color theme="1"/>
            <rFont val="Calibri"/>
            <family val="2"/>
            <scheme val="minor"/>
          </rPr>
          <t>Source: https://www.qld.gov.au/recreation/travel/holidays/public</t>
        </r>
      </text>
    </comment>
    <comment ref="B26" authorId="0" shapeId="0" xr:uid="{6478C195-D5A7-4F45-B1CF-067A8D99B81F}">
      <text>
        <r>
          <rPr>
            <sz val="11"/>
            <color rgb="FF000000"/>
            <rFont val="Calibri"/>
            <family val="2"/>
          </rPr>
          <t>Source: https://education.qld.gov.au/about-us/calendar/future-dates</t>
        </r>
      </text>
    </comment>
    <comment ref="B27" authorId="0" shapeId="0" xr:uid="{AB421B4B-CC6A-4187-A2A3-F51E48289E1F}">
      <text>
        <r>
          <rPr>
            <sz val="11"/>
            <color theme="1"/>
            <rFont val="Calibri"/>
            <family val="2"/>
            <scheme val="minor"/>
          </rPr>
          <t>Source: https://education.qld.gov.au/about-us/calendar/future-dates</t>
        </r>
      </text>
    </comment>
    <comment ref="B28" authorId="0" shapeId="0" xr:uid="{8B959994-85C6-464B-AF8C-0F96DEBC92BC}">
      <text>
        <r>
          <rPr>
            <sz val="11"/>
            <color theme="1"/>
            <rFont val="Calibri"/>
            <family val="2"/>
            <scheme val="minor"/>
          </rPr>
          <t>Source: https://www.qld.gov.au/recreation/travel/holidays/public</t>
        </r>
      </text>
    </comment>
    <comment ref="B29" authorId="0" shapeId="0" xr:uid="{32C9DEB4-D448-4B54-A577-D3A10A226586}">
      <text>
        <r>
          <rPr>
            <sz val="11"/>
            <color theme="1"/>
            <rFont val="Calibri"/>
            <family val="2"/>
            <scheme val="minor"/>
          </rPr>
          <t>Source: https://education.qld.gov.au/about-us/calendar/future-dates</t>
        </r>
      </text>
    </comment>
    <comment ref="B30" authorId="0" shapeId="0" xr:uid="{C1ED66CC-F280-4E86-BBD0-21D60FF3E2C9}">
      <text>
        <r>
          <rPr>
            <sz val="11"/>
            <color theme="1"/>
            <rFont val="Calibri"/>
            <family val="2"/>
            <scheme val="minor"/>
          </rPr>
          <t>Source: https://education.qld.gov.au/about-us/calendar/future-dates</t>
        </r>
      </text>
    </comment>
    <comment ref="B31" authorId="0" shapeId="0" xr:uid="{85DAD655-1B35-40C7-9A95-15C1AF488458}">
      <text>
        <r>
          <rPr>
            <sz val="11"/>
            <color rgb="FF000000"/>
            <rFont val="Calibri"/>
            <family val="2"/>
          </rPr>
          <t>Source: https://www.qld.gov.au/recreation/travel/holidays/public</t>
        </r>
      </text>
    </comment>
    <comment ref="B32" authorId="0" shapeId="0" xr:uid="{66FC7B92-DBA6-4455-85B6-D2E772520BB2}">
      <text>
        <r>
          <rPr>
            <sz val="11"/>
            <color theme="1"/>
            <rFont val="Calibri"/>
            <family val="2"/>
            <scheme val="minor"/>
          </rPr>
          <t>Source: https://www.qld.gov.au/recreation/travel/holidays/public</t>
        </r>
      </text>
    </comment>
    <comment ref="B33" authorId="0" shapeId="0" xr:uid="{F3CE40AC-C657-4982-A46C-9FBB39C62FC5}">
      <text>
        <r>
          <rPr>
            <sz val="11"/>
            <color theme="1"/>
            <rFont val="Calibri"/>
            <family val="2"/>
            <scheme val="minor"/>
          </rPr>
          <t>Source: https://www.qld.gov.au/recreation/travel/holidays/public</t>
        </r>
      </text>
    </comment>
    <comment ref="B34" authorId="0" shapeId="0" xr:uid="{2F9CD878-4D52-4226-950B-14EDFFA08B1B}">
      <text>
        <r>
          <rPr>
            <sz val="11"/>
            <color theme="1"/>
            <rFont val="Calibri"/>
            <family val="2"/>
            <scheme val="minor"/>
          </rPr>
          <t>Source: https://www.qld.gov.au/recreation/travel/holidays/public</t>
        </r>
      </text>
    </comment>
    <comment ref="B35" authorId="0" shapeId="0" xr:uid="{78E81345-4339-430B-A2E7-558FCB9C3D3A}">
      <text>
        <r>
          <rPr>
            <sz val="11"/>
            <color theme="1"/>
            <rFont val="Calibri"/>
            <family val="2"/>
            <scheme val="minor"/>
          </rPr>
          <t>Source: https://www.qld.gov.au/recreation/travel/holidays/public</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360039-A424-4149-A7BC-E80B2D262E8F}" keepAlive="1" name="Query - AllDates" description="Connection to the 'AllDates' query in the workbook." type="5" refreshedVersion="8" background="1" saveData="1">
    <dbPr connection="Provider=Microsoft.Mashup.OleDb.1;Data Source=$Workbook$;Location=AllDates;Extended Properties=&quot;&quot;" command="SELECT * FROM [AllDates]"/>
  </connection>
  <connection id="2" xr16:uid="{493345C5-7EDD-4F7E-ACAA-BBA4285FAA2A}" keepAlive="1" name="Query - InfoDates" description="Connection to the 'InfoDates' query in the workbook." type="5" refreshedVersion="8" background="1" saveData="1">
    <dbPr connection="Provider=Microsoft.Mashup.OleDb.1;Data Source=$Workbook$;Location=InfoDates;Extended Properties=&quot;&quot;" command="SELECT * FROM [InfoDates]"/>
  </connection>
  <connection id="3" xr16:uid="{3E5E361D-ED9E-42AF-9975-A6FFF437B943}" keepAlive="1" name="Query - YPT Work tracker" description="Connection to the 'YPT Work tracker' query in the workbook." type="5" refreshedVersion="8" background="1" saveData="1">
    <dbPr connection="Provider=Microsoft.Mashup.OleDb.1;Data Source=$Workbook$;Location=&quot;YPT Work tracker&quot;;Extended Properties=&quot;&quot;" command="SELECT * FROM [YPT Work tracker]"/>
  </connection>
  <connection id="4" xr16:uid="{142E0119-943F-48C7-A174-6CA85D8647A9}" keepAlive="1" name="Query - YPT Work tracker - Operational Actions" description="Connection to the 'YPT Work tracker - Operational Actions' query in the workbook." type="5" refreshedVersion="8" background="1" saveData="1">
    <dbPr connection="Provider=Microsoft.Mashup.OleDb.1;Data Source=$Workbook$;Location=&quot;YPT Work tracker - Operational Actions&quot;;Extended Properties=&quot;&quot;" command="SELECT * FROM [YPT Work tracker - Operational Actions]"/>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<sst xmlns="http://schemas.openxmlformats.org/spreadsheetml/2006/main" count="14947" uniqueCount="1009">
  <si>
    <t>Counts</t>
  </si>
  <si>
    <t>What This Workbook Does</t>
  </si>
  <si>
    <t>Legend</t>
  </si>
  <si>
    <t>This workbook automatically consolidates Branch Calendar event dates, Youth Program Team work items and other reference dates into a dynamic, interactive roadmap.</t>
  </si>
  <si>
    <t>Event</t>
  </si>
  <si>
    <t>Branch Calendar Event</t>
  </si>
  <si>
    <t>Prep</t>
  </si>
  <si>
    <t>Comms</t>
  </si>
  <si>
    <t>It pulls live data from SharePoint, combines it with manually added dates from the Manual Dates sheet, formats task labels conditionally, and renders an interactive timeline that can be re-sorted on the fly without breaking formulas.</t>
  </si>
  <si>
    <t>Why It Was Built</t>
  </si>
  <si>
    <t>- Single Source of Truth: Eliminates manual data entry by syncing directly with external SharePoint lists.</t>
  </si>
  <si>
    <t>- Consolidated Visibility: Blends multiple sources into a unified view.</t>
  </si>
  <si>
    <t>-  Interactive Filtering &amp; Sorting: Allows users to re-sort timelines (by Start Date, Title, or Category) and separate Reference Dates/Milestones from important dates.</t>
  </si>
  <si>
    <t>- Automated Visuals: Uses conditional formatting to automatically draw timelines based on live entry dates.</t>
  </si>
  <si>
    <t>How It Operates</t>
  </si>
  <si>
    <t>Data Sources:</t>
  </si>
  <si>
    <t>- Branch Calendar feed from Members website - imported to the Youth Program Team SharePoint site and then connected to this workbook</t>
  </si>
  <si>
    <t>- "Manual Dates" - a sheet used to manually enter dates into the query. Initially includes school holidays for term planning references</t>
  </si>
  <si>
    <r>
      <t>Power Query Layer (</t>
    </r>
    <r>
      <rPr>
        <b/>
        <sz val="14"/>
        <color theme="1"/>
        <rFont val="Aptos"/>
        <family val="2"/>
      </rPr>
      <t>AllDates Table):</t>
    </r>
  </si>
  <si>
    <t>Connects to the SharePoint list and local Manual Dates tables.</t>
  </si>
  <si>
    <r>
      <t xml:space="preserve">Appends all source queries into a single master table named </t>
    </r>
    <r>
      <rPr>
        <sz val="10"/>
        <color theme="1"/>
        <rFont val="Aptos"/>
        <family val="2"/>
      </rPr>
      <t>AllDates</t>
    </r>
    <r>
      <rPr>
        <sz val="11"/>
        <color theme="1"/>
        <rFont val="Aptos"/>
        <family val="2"/>
      </rPr>
      <t>.</t>
    </r>
  </si>
  <si>
    <t>Merges ID lookup tables and calculates clean task titles using conditional logic:</t>
  </si>
  <si>
    <t>if [ID] &lt;&gt; null then [Title] &amp; " (" &amp; [Lookup_Text] &amp; ")" else [Title]</t>
  </si>
  <si>
    <t>Roadmap Display Layer:</t>
  </si>
  <si>
    <r>
      <t xml:space="preserve">Dynamic Spill Formulas: Uses </t>
    </r>
    <r>
      <rPr>
        <sz val="10"/>
        <color theme="1"/>
        <rFont val="Aptos"/>
        <family val="2"/>
      </rPr>
      <t>SORTBY</t>
    </r>
    <r>
      <rPr>
        <sz val="11"/>
        <color theme="1"/>
        <rFont val="Aptos"/>
        <family val="2"/>
      </rPr>
      <t xml:space="preserve"> and </t>
    </r>
    <r>
      <rPr>
        <sz val="10"/>
        <color theme="1"/>
        <rFont val="Aptos"/>
        <family val="2"/>
      </rPr>
      <t>FILTER</t>
    </r>
    <r>
      <rPr>
        <sz val="11"/>
        <color theme="1"/>
        <rFont val="Aptos"/>
        <family val="2"/>
      </rPr>
      <t xml:space="preserve"> to populate the Gantt chart without hardcoded row references.</t>
    </r>
  </si>
  <si>
    <r>
      <t xml:space="preserve">Sorting Control (Cell D3): A Data Validation dropdown in </t>
    </r>
    <r>
      <rPr>
        <sz val="10"/>
        <color theme="1"/>
        <rFont val="Aptos"/>
        <family val="2"/>
      </rPr>
      <t>D3</t>
    </r>
    <r>
      <rPr>
        <sz val="11"/>
        <color theme="1"/>
        <rFont val="Aptos"/>
        <family val="2"/>
      </rPr>
      <t xml:space="preserve"> passes sorting preferences to </t>
    </r>
    <r>
      <rPr>
        <sz val="10"/>
        <color theme="1"/>
        <rFont val="Aptos"/>
        <family val="2"/>
      </rPr>
      <t>SWITCH</t>
    </r>
    <r>
      <rPr>
        <sz val="11"/>
        <color theme="1"/>
        <rFont val="Aptos"/>
        <family val="2"/>
      </rPr>
      <t xml:space="preserve"> logic inside the dynamic spill formulas:</t>
    </r>
  </si>
  <si>
    <t>`=SORTBY(FILTER(AllDates[NewTitle], AllDates[Change Category]&lt;&gt;"Reference Date", ""), SWITCH($D$3, ...), 1)</t>
  </si>
  <si>
    <t>Section Separation: Uses FILTER to separate Reference Dates (Change Category = "Reference Date") at the top of the sheet from main operational tasks (Change Category &lt;&gt; "Reference Date").</t>
  </si>
  <si>
    <t>Conditional Formatting: Evaluates timeline grid cells against event dates and categories (such as "Branch Calendar Event") to colorize bars automatically:</t>
  </si>
  <si>
    <t>`=AND(NOT(ISBLANK(start_date)), category="Branch Event", EOMONTH(_xleta.MONTH,0)&gt;=EOMONTH(start_date,0), EOMONTH(_xleta.MONTH,0)&lt;=EOMONTH(end_date,0))</t>
  </si>
  <si>
    <t>Maintenance and User Instructions</t>
  </si>
  <si>
    <r>
      <t xml:space="preserve">Refreshing Data: Click the Refresh Data button on the </t>
    </r>
    <r>
      <rPr>
        <b/>
        <sz val="11"/>
        <color rgb="FF8D1F2C"/>
        <rFont val="Aptos"/>
        <family val="2"/>
      </rPr>
      <t>Roadmap</t>
    </r>
    <r>
      <rPr>
        <sz val="11"/>
        <color theme="1"/>
        <rFont val="Aptos"/>
        <family val="2"/>
      </rPr>
      <t xml:space="preserve"> sheet (or press Ctrl + Alt + F5) to update all Power Query connections in the background.</t>
    </r>
  </si>
  <si>
    <r>
      <t xml:space="preserve">Hidden Data Sheets: Query staging sheets are kept hidden to prevent accidental edits. Right-click any sheet tab and select Unhide if you need to inspect raw </t>
    </r>
    <r>
      <rPr>
        <sz val="10"/>
        <color theme="1"/>
        <rFont val="Aptos"/>
        <family val="2"/>
      </rPr>
      <t>AllDates</t>
    </r>
    <r>
      <rPr>
        <sz val="11"/>
        <color theme="1"/>
        <rFont val="Aptos"/>
        <family val="2"/>
      </rPr>
      <t xml:space="preserve"> outputs.</t>
    </r>
  </si>
  <si>
    <r>
      <t xml:space="preserve">Adding New Tasks: Add new internal tasks directly to the </t>
    </r>
    <r>
      <rPr>
        <b/>
        <sz val="10"/>
        <color rgb="FF0070C0"/>
        <rFont val="Aptos"/>
        <family val="2"/>
      </rPr>
      <t>Manual Dates</t>
    </r>
    <r>
      <rPr>
        <sz val="11"/>
        <color theme="1"/>
        <rFont val="Aptos"/>
        <family val="2"/>
      </rPr>
      <t xml:space="preserve"> table on the staging sheet. They will flow into the Gantt chart upon the next refresh.</t>
    </r>
  </si>
  <si>
    <t xml:space="preserve">Sort by  </t>
  </si>
  <si>
    <t>Start Date</t>
  </si>
  <si>
    <t xml:space="preserve">Starting at  </t>
  </si>
  <si>
    <t>To be hidden</t>
  </si>
  <si>
    <t>EVENT</t>
  </si>
  <si>
    <t>PROJECT / ACTION</t>
  </si>
  <si>
    <t>START DATE</t>
  </si>
  <si>
    <t>END DATE</t>
  </si>
  <si>
    <t>MONTHS</t>
  </si>
  <si>
    <t>CATEGORY</t>
  </si>
  <si>
    <t>TAGS</t>
  </si>
  <si>
    <t xml:space="preserve"> </t>
  </si>
  <si>
    <t>ADD TO THIS SHEET TO AUTOMATICALLY ADD TO THE MASTER LISTING</t>
  </si>
  <si>
    <t>FileSystemObjectType</t>
  </si>
  <si>
    <t>Id</t>
  </si>
  <si>
    <t>ServerRedirectedEmbedUri</t>
  </si>
  <si>
    <t>ServerRedirectedEmbedUrl</t>
  </si>
  <si>
    <t>Title</t>
  </si>
  <si>
    <t>Description</t>
  </si>
  <si>
    <t>Priority</t>
  </si>
  <si>
    <t>Parent Work ItemId</t>
  </si>
  <si>
    <t>Category0</t>
  </si>
  <si>
    <t>Progress</t>
  </si>
  <si>
    <t>StartDate</t>
  </si>
  <si>
    <t>DueDate</t>
  </si>
  <si>
    <t>AssignedTo0Id</t>
  </si>
  <si>
    <t>AssignedTo0StringId</t>
  </si>
  <si>
    <t>Notes</t>
  </si>
  <si>
    <t>KeyStakeholdersId</t>
  </si>
  <si>
    <t>KeyStakeholdersStringId</t>
  </si>
  <si>
    <t>Location</t>
  </si>
  <si>
    <t>Tags</t>
  </si>
  <si>
    <t>CalendarID</t>
  </si>
  <si>
    <t>ContentTypeId</t>
  </si>
  <si>
    <t>OData__ColorTag</t>
  </si>
  <si>
    <t>ComplianceAssetId</t>
  </si>
  <si>
    <t>Operational ActionId</t>
  </si>
  <si>
    <t>YPT Tag</t>
  </si>
  <si>
    <t>Responsible</t>
  </si>
  <si>
    <t>Change Category</t>
  </si>
  <si>
    <t>Milestone</t>
  </si>
  <si>
    <t>ID.1</t>
  </si>
  <si>
    <t>Modified</t>
  </si>
  <si>
    <t>Created</t>
  </si>
  <si>
    <t>AuthorId</t>
  </si>
  <si>
    <t>EditorId</t>
  </si>
  <si>
    <t>OData__UIVersionString</t>
  </si>
  <si>
    <t>Attachments</t>
  </si>
  <si>
    <t>GUID</t>
  </si>
  <si>
    <t>Title2</t>
  </si>
  <si>
    <t>District</t>
  </si>
  <si>
    <t>Section</t>
  </si>
  <si>
    <t>School Holidays (April)</t>
  </si>
  <si>
    <t>Calendar Entry</t>
  </si>
  <si>
    <t>Reference</t>
  </si>
  <si>
    <t>Reference Date</t>
  </si>
  <si>
    <t>School Holidays (July)</t>
  </si>
  <si>
    <t>School Holidays (September)</t>
  </si>
  <si>
    <t>School Holidays (December)</t>
  </si>
  <si>
    <t>ScoutFest 2027</t>
  </si>
  <si>
    <t>Youth Program Event</t>
  </si>
  <si>
    <t>Easter 2027</t>
  </si>
  <si>
    <t>Easter 2028</t>
  </si>
  <si>
    <t>Easter 2029</t>
  </si>
  <si>
    <t>Skillorama</t>
  </si>
  <si>
    <t>Joey Scout Hopalong</t>
  </si>
  <si>
    <t>ScoutOut</t>
  </si>
  <si>
    <t>Cub Scout Leader Expo</t>
  </si>
  <si>
    <t>Nighthawk (Crows Nest)</t>
  </si>
  <si>
    <t>Test N Track Moot</t>
  </si>
  <si>
    <t>Approx date only</t>
  </si>
  <si>
    <t>Banana Bash</t>
  </si>
  <si>
    <t>QBRC Conference</t>
  </si>
  <si>
    <t>Qld Rovers ARP</t>
  </si>
  <si>
    <t>Banana Bash applications period</t>
  </si>
  <si>
    <t>QARM</t>
  </si>
  <si>
    <t>QARM applications period</t>
  </si>
  <si>
    <t>QMoot</t>
  </si>
  <si>
    <t>QMoot applications period</t>
  </si>
  <si>
    <t>Urban Challenge</t>
  </si>
  <si>
    <t>Urban Challenge applications period</t>
  </si>
  <si>
    <t>RoVenture</t>
  </si>
  <si>
    <t>RoVenture applications period</t>
  </si>
  <si>
    <t>In relation to key dates:</t>
  </si>
  <si>
    <t>St George's Ball</t>
  </si>
  <si>
    <t>1. Committee appointed – 12 months out</t>
  </si>
  <si>
    <t>St George's Ball ticket purchasing period</t>
  </si>
  <si>
    <t>2. Budget Approved - 4 months out</t>
  </si>
  <si>
    <t>District/Region Moot</t>
  </si>
  <si>
    <t>3. Applications open – 4 months out</t>
  </si>
  <si>
    <t>QBRC Budget approval</t>
  </si>
  <si>
    <t>4. Marketing starts – 4 months out</t>
  </si>
  <si>
    <t>Joey Scouts - Personal Development Course.</t>
  </si>
  <si>
    <t>Pilot Course run for Region only.  Future Courses could all ow for other formations to attend.</t>
  </si>
  <si>
    <t>Moreton Region</t>
  </si>
  <si>
    <t>Joey Scouts</t>
  </si>
  <si>
    <t>Cub Scouts - Personal Development Course</t>
  </si>
  <si>
    <t xml:space="preserve"> is open to 'outsiders' if the course is not full.  No outsiders for Region Cub Camp.</t>
  </si>
  <si>
    <t>Cub Scouts</t>
  </si>
  <si>
    <t xml:space="preserve">Scouts - Personal Development </t>
  </si>
  <si>
    <t>is open to 'outsiders'.  Region camp is generally not for outsiders.  Operation NightOwl is open to others and Guides</t>
  </si>
  <si>
    <t>Scouts</t>
  </si>
  <si>
    <t xml:space="preserve">Venturer Scouts - Operation Archer </t>
  </si>
  <si>
    <t>is open to all Venturers and always has been.  Typically held after ANZAC Day and before June 'Queens Birthday'.</t>
  </si>
  <si>
    <t>Venturer Scouts</t>
  </si>
  <si>
    <t>Butterfly</t>
  </si>
  <si>
    <t>Brisbane North Region</t>
  </si>
  <si>
    <t>BNR All</t>
  </si>
  <si>
    <t>BAANYA</t>
  </si>
  <si>
    <t>Wide Game</t>
  </si>
  <si>
    <t>Charles S Snow and Bramble Bay</t>
  </si>
  <si>
    <t>Knight Moves</t>
  </si>
  <si>
    <t>PL Adventure</t>
  </si>
  <si>
    <t>SEQ Leadership Course</t>
  </si>
  <si>
    <t>Founders Day &amp; Swim Night</t>
  </si>
  <si>
    <t>Bramble Bay</t>
  </si>
  <si>
    <t>Combined</t>
  </si>
  <si>
    <t>District Skate Nighty</t>
  </si>
  <si>
    <t>District Rally</t>
  </si>
  <si>
    <t>Trailblazer</t>
  </si>
  <si>
    <t>Week 1 Term 3</t>
  </si>
  <si>
    <t>Tyakunda</t>
  </si>
  <si>
    <t>Founders Day camp</t>
  </si>
  <si>
    <t>each District is encouraged to run a founders day activity for all sections and involve parents and families to get the scout year off on the right note.</t>
  </si>
  <si>
    <t>Suncoast Region</t>
  </si>
  <si>
    <t>RAW (Region Activity Weekend)</t>
  </si>
  <si>
    <t>Kiwi Woggle</t>
  </si>
  <si>
    <t xml:space="preserve">Scout leadership course </t>
  </si>
  <si>
    <t>Scout and Venturer leadership course held separately at the same location</t>
  </si>
  <si>
    <t xml:space="preserve">Venturer Scout leadership course </t>
  </si>
  <si>
    <t>Cub Scout leadership course</t>
  </si>
  <si>
    <t>Cub leadership course district run but available for all region cubs</t>
  </si>
  <si>
    <t>Suncoast Districts</t>
  </si>
  <si>
    <t>Nambour District Trek cart</t>
  </si>
  <si>
    <t xml:space="preserve">Region Night Manoeuvres </t>
  </si>
  <si>
    <t>Scout and Venturer Scout night hike and activities for practice and those who don't do Nighthawk</t>
  </si>
  <si>
    <t>Scouts / Venturer Scouts</t>
  </si>
  <si>
    <t>Region Cub Camp</t>
  </si>
  <si>
    <t>District run, rotation between districts with Region support.</t>
  </si>
  <si>
    <t>Suncoast Districts rotation</t>
  </si>
  <si>
    <t>Cougar Trophy scout section backwoods cooking competition</t>
  </si>
  <si>
    <t>AA Weekends - Bushwalking, Abseiling, Canoeing (proposed)</t>
  </si>
  <si>
    <t>Bunya-Gympie is looking at running AA weekends for 2027 about every 2 months for activities from Bushwalking, Abseiling, Canoeing.</t>
  </si>
  <si>
    <t>Bunya-Gympie District</t>
  </si>
  <si>
    <t>Queensland 2027 School Terms and Public Holidays Planner</t>
  </si>
  <si>
    <t>Weekly planning view. Queensland state school terms, school holidays, student-free days and Queensland public holidays, including the Brisbane Show Holiday.</t>
  </si>
  <si>
    <t>Category</t>
  </si>
  <si>
    <t>Special date or period</t>
  </si>
  <si>
    <t>Start</t>
  </si>
  <si>
    <t>End</t>
  </si>
  <si>
    <t>W53
28 Dec</t>
  </si>
  <si>
    <t>W1
04 Jan</t>
  </si>
  <si>
    <t>W2
11 Jan</t>
  </si>
  <si>
    <t>W3
18 Jan</t>
  </si>
  <si>
    <t>W4
25 Jan</t>
  </si>
  <si>
    <t>W5
01 Feb</t>
  </si>
  <si>
    <t>W6
08 Feb</t>
  </si>
  <si>
    <t>W7
15 Feb</t>
  </si>
  <si>
    <t>W8
22 Feb</t>
  </si>
  <si>
    <t>W9
01 Mar</t>
  </si>
  <si>
    <t>W10
08 Mar</t>
  </si>
  <si>
    <t>W11
15 Mar</t>
  </si>
  <si>
    <t>W12
22 Mar</t>
  </si>
  <si>
    <t>W13
29 Mar</t>
  </si>
  <si>
    <t>W14
05 Apr</t>
  </si>
  <si>
    <t>W15
12 Apr</t>
  </si>
  <si>
    <t>W16
19 Apr</t>
  </si>
  <si>
    <t>W17
26 Apr</t>
  </si>
  <si>
    <t>W18
03 May</t>
  </si>
  <si>
    <t>W19
10 May</t>
  </si>
  <si>
    <t>W20
17 May</t>
  </si>
  <si>
    <t>W21
24 May</t>
  </si>
  <si>
    <t>W22
31 May</t>
  </si>
  <si>
    <t>W23
07 Jun</t>
  </si>
  <si>
    <t>W24
14 Jun</t>
  </si>
  <si>
    <t>W25
21 Jun</t>
  </si>
  <si>
    <t>W26
28 Jun</t>
  </si>
  <si>
    <t>W27
05 Jul</t>
  </si>
  <si>
    <t>W28
12 Jul</t>
  </si>
  <si>
    <t>W29
19 Jul</t>
  </si>
  <si>
    <t>W30
26 Jul</t>
  </si>
  <si>
    <t>W31
02 Aug</t>
  </si>
  <si>
    <t>W32
09 Aug</t>
  </si>
  <si>
    <t>W33
16 Aug</t>
  </si>
  <si>
    <t>W34
23 Aug</t>
  </si>
  <si>
    <t>W35
30 Aug</t>
  </si>
  <si>
    <t>W36
06 Sep</t>
  </si>
  <si>
    <t>W37
13 Sep</t>
  </si>
  <si>
    <t>W38
20 Sep</t>
  </si>
  <si>
    <t>W39
27 Sep</t>
  </si>
  <si>
    <t>W40
04 Oct</t>
  </si>
  <si>
    <t>W41
11 Oct</t>
  </si>
  <si>
    <t>W42
18 Oct</t>
  </si>
  <si>
    <t>W43
25 Oct</t>
  </si>
  <si>
    <t>W44
01 Nov</t>
  </si>
  <si>
    <t>W45
08 Nov</t>
  </si>
  <si>
    <t>W46
15 Nov</t>
  </si>
  <si>
    <t>W47
22 Nov</t>
  </si>
  <si>
    <t>W48
29 Nov</t>
  </si>
  <si>
    <t>W49
06 Dec</t>
  </si>
  <si>
    <t>W50
13 Dec</t>
  </si>
  <si>
    <t>W51
20 Dec</t>
  </si>
  <si>
    <t>W52
27 Dec</t>
  </si>
  <si>
    <t>School term</t>
  </si>
  <si>
    <t>Term 1</t>
  </si>
  <si>
    <t>27–31 Jan</t>
  </si>
  <si>
    <t>01–07 Feb</t>
  </si>
  <si>
    <t>08–14 Feb</t>
  </si>
  <si>
    <t>15–21 Feb</t>
  </si>
  <si>
    <t>22–28 Feb</t>
  </si>
  <si>
    <t>01–07 Mar</t>
  </si>
  <si>
    <t>08–14 Mar</t>
  </si>
  <si>
    <t>15–21 Mar</t>
  </si>
  <si>
    <t>22–25 Mar</t>
  </si>
  <si>
    <t>School holidays</t>
  </si>
  <si>
    <t>Term 1 school holidays</t>
  </si>
  <si>
    <t>26–28 Mar</t>
  </si>
  <si>
    <t>29–04 Apr</t>
  </si>
  <si>
    <t>05–11 Apr</t>
  </si>
  <si>
    <t>Term 2</t>
  </si>
  <si>
    <t>12–18 Apr</t>
  </si>
  <si>
    <t>19–25 Apr</t>
  </si>
  <si>
    <t>26–02 May</t>
  </si>
  <si>
    <t>03–09 May</t>
  </si>
  <si>
    <t>10–16 May</t>
  </si>
  <si>
    <t>17–23 May</t>
  </si>
  <si>
    <t>24–30 May</t>
  </si>
  <si>
    <t>31–06 Jun</t>
  </si>
  <si>
    <t>07–13 Jun</t>
  </si>
  <si>
    <t>14–20 Jun</t>
  </si>
  <si>
    <t>21–25 Jun</t>
  </si>
  <si>
    <t>Term 2 school holidays</t>
  </si>
  <si>
    <t>26–27 Jun</t>
  </si>
  <si>
    <t>28–04 Jul</t>
  </si>
  <si>
    <t>05–11 Jul</t>
  </si>
  <si>
    <t>Term 3</t>
  </si>
  <si>
    <t>12–18 Jul</t>
  </si>
  <si>
    <t>19–25 Jul</t>
  </si>
  <si>
    <t>26–01 Aug</t>
  </si>
  <si>
    <t>02–08 Aug</t>
  </si>
  <si>
    <t>09–15 Aug</t>
  </si>
  <si>
    <t>16–22 Aug</t>
  </si>
  <si>
    <t>23–29 Aug</t>
  </si>
  <si>
    <t>30–05 Sep</t>
  </si>
  <si>
    <t>06–12 Sep</t>
  </si>
  <si>
    <t>13–17 Sep</t>
  </si>
  <si>
    <t>Term 3 school holidays</t>
  </si>
  <si>
    <t>18–19 Sep</t>
  </si>
  <si>
    <t>20–26 Sep</t>
  </si>
  <si>
    <t>27–03 Oct</t>
  </si>
  <si>
    <t>04 Oct</t>
  </si>
  <si>
    <t>Term 4</t>
  </si>
  <si>
    <t>05–10 Oct</t>
  </si>
  <si>
    <t>11–17 Oct</t>
  </si>
  <si>
    <t>18–24 Oct</t>
  </si>
  <si>
    <t>25–31 Oct</t>
  </si>
  <si>
    <t>01–07 Nov</t>
  </si>
  <si>
    <t>08–14 Nov</t>
  </si>
  <si>
    <t>15–21 Nov</t>
  </si>
  <si>
    <t>22–28 Nov</t>
  </si>
  <si>
    <t>29–05 Dec</t>
  </si>
  <si>
    <t>06–10 Dec</t>
  </si>
  <si>
    <t>Term 4 school holidays</t>
  </si>
  <si>
    <t>11–12 Dec</t>
  </si>
  <si>
    <t>13–19 Dec</t>
  </si>
  <si>
    <t>20–26 Dec</t>
  </si>
  <si>
    <t>27–02 Jan</t>
  </si>
  <si>
    <t>Student-free day</t>
  </si>
  <si>
    <t>Professional development day</t>
  </si>
  <si>
    <t>21 Jan</t>
  </si>
  <si>
    <t>22 Jan</t>
  </si>
  <si>
    <t>25 Jan</t>
  </si>
  <si>
    <t>08 Apr</t>
  </si>
  <si>
    <t>09 Apr</t>
  </si>
  <si>
    <t>03 Sep</t>
  </si>
  <si>
    <t>Queensland public holiday</t>
  </si>
  <si>
    <t>New Year's Day</t>
  </si>
  <si>
    <t>01 Jan</t>
  </si>
  <si>
    <t>Australia Day</t>
  </si>
  <si>
    <t>26 Jan</t>
  </si>
  <si>
    <t>Good Friday</t>
  </si>
  <si>
    <t>26 Mar</t>
  </si>
  <si>
    <t>The day after Good Friday</t>
  </si>
  <si>
    <t>27 Mar</t>
  </si>
  <si>
    <t>Easter Sunday</t>
  </si>
  <si>
    <t>28 Mar</t>
  </si>
  <si>
    <t>Easter Monday</t>
  </si>
  <si>
    <t>29 Mar</t>
  </si>
  <si>
    <t>Anzac Day holiday</t>
  </si>
  <si>
    <t>26 Apr</t>
  </si>
  <si>
    <t>Labour Day</t>
  </si>
  <si>
    <t>03 May</t>
  </si>
  <si>
    <t>Brisbane public holiday</t>
  </si>
  <si>
    <t>Royal Queensland Show, Brisbane area only</t>
  </si>
  <si>
    <t>11 Aug</t>
  </si>
  <si>
    <t>King's Birthday</t>
  </si>
  <si>
    <t>Queensland part-day holiday</t>
  </si>
  <si>
    <t>Christmas Eve, 6 pm to midnight</t>
  </si>
  <si>
    <t>24 Dec</t>
  </si>
  <si>
    <t>Christmas Day</t>
  </si>
  <si>
    <t>25 Dec</t>
  </si>
  <si>
    <t>Boxing Day</t>
  </si>
  <si>
    <t>26 Dec</t>
  </si>
  <si>
    <t>Christmas Day holiday</t>
  </si>
  <si>
    <t>27 Dec</t>
  </si>
  <si>
    <t>Boxing Day holiday</t>
  </si>
  <si>
    <t>28 Dec</t>
  </si>
  <si>
    <t>2027 Dates and Sources</t>
  </si>
  <si>
    <t>Start date</t>
  </si>
  <si>
    <t>End date</t>
  </si>
  <si>
    <t>Duration or note</t>
  </si>
  <si>
    <t>Source</t>
  </si>
  <si>
    <t>Planning note</t>
  </si>
  <si>
    <t>https://education.qld.gov.au/about-us/calendar/future-dates</t>
  </si>
  <si>
    <t/>
  </si>
  <si>
    <t>https://www.qld.gov.au/recreation/travel/holidays/public</t>
  </si>
  <si>
    <t>Local show holidays outside Brisbane vary by area and should be checked separately.</t>
  </si>
  <si>
    <t>Scope note</t>
  </si>
  <si>
    <t>Queensland state school dates are used. Independent and Catholic school dates may vary. The Brisbane show holiday is included because planning is Brisbane-based. Other local show and special holidays are not included.</t>
  </si>
  <si>
    <t>DO NOT EDIT THIS SHEET - AUTOMATICALLY UPDATES FROM A QUERY</t>
  </si>
  <si>
    <t>FirstUniqueAncestorSecurableObject</t>
  </si>
  <si>
    <t>RoleAssignments</t>
  </si>
  <si>
    <t>AttachmentFiles</t>
  </si>
  <si>
    <t>ContentType</t>
  </si>
  <si>
    <t>GetDlpPolicyTip</t>
  </si>
  <si>
    <t>FieldValuesAsHtml</t>
  </si>
  <si>
    <t>FieldValuesAsText</t>
  </si>
  <si>
    <t>FieldValuesForEdit</t>
  </si>
  <si>
    <t>File</t>
  </si>
  <si>
    <t>Folder</t>
  </si>
  <si>
    <t>LikedByInformation</t>
  </si>
  <si>
    <t>ParentList</t>
  </si>
  <si>
    <t>Properties</t>
  </si>
  <si>
    <t>Versions</t>
  </si>
  <si>
    <t>Parent Work Item</t>
  </si>
  <si>
    <t>AssignedTo0</t>
  </si>
  <si>
    <t>KeyStakeholders</t>
  </si>
  <si>
    <t>Operational Action</t>
  </si>
  <si>
    <t>Author</t>
  </si>
  <si>
    <t>Editor</t>
  </si>
  <si>
    <t>OperationalActionTitle</t>
  </si>
  <si>
    <t>NewTitle</t>
  </si>
  <si>
    <t>Vertical - Abseiling Natural SP (Wide Bay)</t>
  </si>
  <si>
    <t>Applications Close: 06/03/2026
Course Number: 0
Course Fee: $ 155.00
Pre requisites: Adult Supporters, Adult Leaders, Rover Scouts, Venturer Scouts
Click here for the Training Program Outline
Click here to apply for this training course
This program will provide fundamental skills and knowledge for abseiling on single pitches.
Note: Times listed are indicative only and will be confirmed pre-course.</t>
  </si>
  <si>
    <t>Low</t>
  </si>
  <si>
    <t>[List]</t>
  </si>
  <si>
    <t>Training - AA</t>
  </si>
  <si>
    <t>0x01006B96C2D89248E44D9DCCC3EFE7C6F01F009AE4A35CBC209B4AAB88D9DE8B191F78</t>
  </si>
  <si>
    <t>4.0</t>
  </si>
  <si>
    <t>c7e7823e-a6be-4037-8d14-5ec480681593</t>
  </si>
  <si>
    <t>[Record]</t>
  </si>
  <si>
    <t>[Table]</t>
  </si>
  <si>
    <t>Basic Water Rescue (FNQ)</t>
  </si>
  <si>
    <t>Applications Close: 23/10/2026
Course Number: 2000SK2605
Course Fee: $ 55
Pre requisites: Adult Supporters, Adult Leaders, Rover Scouts, Venturer Scouts 
Click here to apply for this training course
This program will provide skills and knowledge required to perform basic water rescues in indoor and outdoor aquatic venues
Note: Times listed are indicative only and will be confirmed pre-course.</t>
  </si>
  <si>
    <t>81d4efc5-230a-4046-a5d6-d59d21a6eefc</t>
  </si>
  <si>
    <t>Scouting Essentials (Brisbane)</t>
  </si>
  <si>
    <t>Applications Close: 30/10/2026
Course Number: 1002616
Course Fee: $ 170.00
Pre requisites: Certificate of Adult Membership - Adult Leaders, Rover Scouts 
Click here for the Training Program Outline
Click here to apply for this training course
This program will provide the skills and knowledge needed to plan and deliver activities to implement the Youth Program at weekly meetings and overnight activities.
Note: Times listed are indicative only, refer to final course documentation for your course for confirmed course times.</t>
  </si>
  <si>
    <t>459fc94c-7c66-4673-b739-2153a8c3e040</t>
  </si>
  <si>
    <t>Scouting Management - Group Leaders (Brisbane)</t>
  </si>
  <si>
    <t>Applications Close: 30/10/2026
Course Number: 1202605
Course Fee: $ 170.00
Pre requisites: Scouting Essentials and completion of Scouting Management On Demand learning
Click here for the Training Program Outline
Click here to apply for this training course
This program will provide leaders of adults the skills and knowledge needed to manage and administer a formation at a group level to support the delivery of youth program. Note: This is the same curriculum as Scouting Management (for Commissioners and Advisers) but 
with Group Leader relevant examples  
Note: Times listed are indicative only, refer to final course documentation of your course for confirmed course times.</t>
  </si>
  <si>
    <t>769eb2e6-5ad7-4a79-ab38-b6856282b9f1</t>
  </si>
  <si>
    <t>Paddling - Kayak Inland Flatwater TP (Wide Bay)</t>
  </si>
  <si>
    <t>Applications Close: 06/02/2026
Course Number: 0
Course Fee: $ 155
Pre requisites: Kayaking Flat Water Safe Participant (SP) appointment 
Click here for the Training Program Outline
Click here to apply for this training course
This program will provide skills and knowledge to paddle a kayak on inland flat water, including rescue following capsize. 
Note: Times listed are indicative only and will be confirmed pre-course.</t>
  </si>
  <si>
    <t>a1c89867-3431-47b7-a903-bdb7e4566796</t>
  </si>
  <si>
    <t>Paddling - SUP Inland Flatwater SP</t>
  </si>
  <si>
    <t>Applications Close: 06/02/2025
Course Number: 2405SP2602
Course Fee: $ 80.00
Pre requisites: N/A
Click here to apply for this training course
This program will provide skills and knowledge to paddle a stand-up paddle board on inland flat water.
Note: Times listed are indicative only and will be confirmed pre-course.</t>
  </si>
  <si>
    <t>3ed99ff7-54d4-4304-8e5c-61354d82ea38</t>
  </si>
  <si>
    <t>Cycling - On Road - SP/TP (Wide Bay)</t>
  </si>
  <si>
    <t>Applications Close: 10/07/2026
Course Number: 0
Course Fee: $ 90.00
Pre requisites: Ability to ride a bike - Adult Supporters, Adult Leaders, Rover Scouts, Venturer Scouts
Click here for the Training Program Outline
Click here to apply for this training course
This program will provide skills and knowledge to setup, maintain and repair a bicycle; plan routes; and ride on pathways and roads with easy to intermediate conditions (including rail trails). 
Note: Times listed are indicative only and will be confirmed pre-course.</t>
  </si>
  <si>
    <t>c453b12a-b063-41d7-b6f3-0df5d2a8c32d</t>
  </si>
  <si>
    <t>30539b2e-d445-48c3-ad9c-cd6b8bebca4d</t>
  </si>
  <si>
    <t>Queensland Branch Rover Council Meeting</t>
  </si>
  <si>
    <t>Monthly</t>
  </si>
  <si>
    <t>Rover Scouts</t>
  </si>
  <si>
    <t>6e36a8f2-39f9-4aa3-ab20-a3c59bc739b4</t>
  </si>
  <si>
    <t>Branch Finance Committee</t>
  </si>
  <si>
    <t>3rd Monday of the month</t>
  </si>
  <si>
    <t>f79a5a36-74d0-4834-986f-adad3b2b8561</t>
  </si>
  <si>
    <t>Branch Joey Scout Council</t>
  </si>
  <si>
    <t>BC Joey Scouts</t>
  </si>
  <si>
    <t>5.0</t>
  </si>
  <si>
    <t>3121f1a5-ce81-4b71-b084-2377869ed28d</t>
  </si>
  <si>
    <t>Yearly</t>
  </si>
  <si>
    <t>608ffe48-ebf8-448f-8f9e-30c3177ef533</t>
  </si>
  <si>
    <t>Branch Executive Committee</t>
  </si>
  <si>
    <t>4th Tuesday of the month (3rd Tuesday in December)</t>
  </si>
  <si>
    <t>6f0e39ee-1f10-4eb3-aadf-930fcc81c996</t>
  </si>
  <si>
    <t>Cycling - Off Road - SP/TP (Brisbane)</t>
  </si>
  <si>
    <t>Applications Close: 10/04/2026
Course Number: 2301PR2601
Course Fee: $ 90.00
Pre requisites: Ability to ride a bike - Adult Supporters, Adult Leaders, Rover Scouts, Venturer Scouts
Click here for the Training Program Outline
Click here to apply for this training course
This program will provide skills and knowledge to setup, maintain and repair a bicycle; plan routes; and ride off-road bicycles on easy to intermediate trails (eg mountain bike trails). 
Note: Times listed are indicative only and will be confirmed pre-course.</t>
  </si>
  <si>
    <t>40bc320a-e99c-4f0e-b445-7c9c8f40198e</t>
  </si>
  <si>
    <t>Scouting Leadership (Online)</t>
  </si>
  <si>
    <t>Applications Close: 08/05/2026
Course Number: 1302604OL
Course Fee: $ 80.00
Pre requisites: 6 months since completion of Scouting Adventure or Scouting Management
Click here for the Training Program Outline
Click here to apply for this training course
This program will build on skills and knowledge gained through the delivery of youth program and deepen understanding of Scouting fundamentals.
Note: Times listed are indicative only, refer to final course documentation for your course for confirmed course times.</t>
  </si>
  <si>
    <t>19f6ec85-8a49-483c-9d7c-b146d7a5c53e</t>
  </si>
  <si>
    <t>Cycling - Off Road - SP/TP (Wide Bay)</t>
  </si>
  <si>
    <t>Applications Close: 10/07/2026
Course Number: 0
Course Fee: $ 90.00
Pre requisites: Ability to ride a bike - Adult Supporters, Adult Leaders, Rover Scouts, Venturer Scouts
Click here for the Training Program Outline
Click here to apply for this training course
This program will provide skills and knowledge to setup, maintain and repair a bicycle; plan routes; and ride off-road bicycles on easy to intermediate trails (eg mountain bike trails). 
Note: Times listed are indicative only and will be confirmed pre-course.</t>
  </si>
  <si>
    <t>f1fbad35-7030-478e-b4c4-3fd041bb94b5</t>
  </si>
  <si>
    <t>c1dcf8df-80df-49b0-ba05-24a3573d4ef6</t>
  </si>
  <si>
    <t>Scouting Adventure (Brisbane)</t>
  </si>
  <si>
    <t>Applications Close: 18/09/2026
Course Number: 1102612
Course Fee: $ 170.00
Pre requisites: Scouting Essentials and completion of Scouting Adventure On Demand learning
Click here for the Training Program Outline
Click here to apply for this training course
This program will provide leaders of youth the skills and knowledge needed to support the delivery of the youth program to achieve Outdoor Adventure Skills Core Stage 3. 
Note: Times listed are indicative only, refer to final course documentation of your course for confirmed course times.</t>
  </si>
  <si>
    <t>86ddaab3-2062-4bd4-8f92-5bd4d9d17d02</t>
  </si>
  <si>
    <t>Applications Close: 18/09/2026
Course Number: 1002614
Course Fee: $ 170.00
Pre requisites: Certificate of Adult Membership - Adult Leaders, Rover Scouts 
Click here for the Training Program Outline
Click here to apply for this training course
This program will provide the skills and knowledge needed to plan and deliver activities to implement the Youth Program at weekly meetings and overnight activities.
Note: Times listed are indicative only, refer to final course documentation for your course for confirmed course times.</t>
  </si>
  <si>
    <t>a6158a61-e35e-4450-b5d3-24f52bba697d</t>
  </si>
  <si>
    <t>461651b3-f865-4f87-a53e-a62a0fec89da</t>
  </si>
  <si>
    <t>b8f36462-1bce-4be1-b5ec-0b396c4b3768</t>
  </si>
  <si>
    <t>62765f15-cf9d-47a1-aa97-17d339875b43</t>
  </si>
  <si>
    <t>89c08ccb-06c4-41b5-b457-fe729493d3a0</t>
  </si>
  <si>
    <t>Branch Scout Section Council</t>
  </si>
  <si>
    <t>ab57b248-e204-4efd-8a75-cde76fb7aae6</t>
  </si>
  <si>
    <t>Branch Youth Venturer Scout Council</t>
  </si>
  <si>
    <t>2a9a3e4f-e0a4-4681-876f-f33202fcaa46</t>
  </si>
  <si>
    <t>1bc404c7-8dc6-498c-879b-9c7a2ed4afdd</t>
  </si>
  <si>
    <t>Branch Cub Scout Section Team Meeting</t>
  </si>
  <si>
    <t>4f0c95fb-7bb9-443c-960f-0f759cd57086</t>
  </si>
  <si>
    <t>Founder's Day Dinner</t>
  </si>
  <si>
    <t>By invitation only</t>
  </si>
  <si>
    <t>75f9f702-f167-402f-9ac5-22ca5a67f171</t>
  </si>
  <si>
    <t>Scouting Adventure (Ipswich)</t>
  </si>
  <si>
    <t>Applications Close: 30/01/2026
Course Number: 1102601
Course Fee: $ 170.00
Pre requisites: Scouting Essentials and completion of Scouting Adventure On Demand learning
Click here for the Training Program Outline
Click here to apply for this training course
This program will provide leaders of youth the skills and knowledge needed to support the delivery of the youth program to achieve Outdoor Adventure Skills Core Stage 3. 
Note: Times listed are indicative only, refer to final course documentation of your course for confirmed course times.</t>
  </si>
  <si>
    <t>d03a7bce-9460-4674-bcac-bd4a65bb6a20</t>
  </si>
  <si>
    <t>a9422bc0-e57e-4648-98c4-cfb429c09662</t>
  </si>
  <si>
    <t>Synchronised Cub Scout Camp (local groups)</t>
  </si>
  <si>
    <t>afabe313-8ec6-4242-93cc-c99c856d3342</t>
  </si>
  <si>
    <t>Paddling - SUP Inland Flatwater SP/TP</t>
  </si>
  <si>
    <t>Applications Close: 30/01/2026
Course Number: 2405SP2601
Course Fee: $ 80
Pre requisites: N/A
Click here to apply for this training course
This program will provide skills and knowledge to paddle a stand-up paddle board on inland flat water.
Note: Times listed are indicative only and will be confirmed pre-course.</t>
  </si>
  <si>
    <t>68054385-10fe-47fc-af04-008c1dbd791a</t>
  </si>
  <si>
    <t>003c26c8-666a-4e58-ba17-37f753f21270</t>
  </si>
  <si>
    <t>Founder's Day</t>
  </si>
  <si>
    <t>22 February every year</t>
  </si>
  <si>
    <t>fef4df47-6b65-4e02-966c-690f426cf5d5</t>
  </si>
  <si>
    <t>ARA Nominations Deadline</t>
  </si>
  <si>
    <t>a8aff28d-06cf-4a70-82af-cac6e38215da</t>
  </si>
  <si>
    <t>Scouting Essentials (Online)</t>
  </si>
  <si>
    <t>Applications Close: 30/01/2026
Course Number: 1002601OL
Course Fee: $ 80.00
Pre requisites: Certificate of Adult Membership - Adult Leaders, Rover Scouts 
Click here for the Training Program Outline
Click here to apply for this training course
This program will provide the skills and knowledge needed to plan and deliver activities to implement the Youth Program at weekly meetings and overnight activities.
Note: Times listed are indicative only, refer to final course documentation for your course for confirmed course times.</t>
  </si>
  <si>
    <t>7d2614f7-046c-4148-a314-de66c9f794aa</t>
  </si>
  <si>
    <t>034fabd8-2b86-45d8-8ad4-10f6f291834f</t>
  </si>
  <si>
    <t>Training: Wood Badge</t>
  </si>
  <si>
    <t>f37cd281-2915-4034-aefa-f6ba84329502</t>
  </si>
  <si>
    <t>f600322f-1625-4d57-afb9-32041f90ead2</t>
  </si>
  <si>
    <t>Queensland Rover Moot (Q Moot)</t>
  </si>
  <si>
    <t>bd7d368f-4be7-46e6-a8ad-d0add49c7046</t>
  </si>
  <si>
    <t>Paddling - Canoe/Kayak Inland Flatwater SP</t>
  </si>
  <si>
    <t>Applications Close: 06/02/2026
Course Number: 2400SP2601
Course Fee: $ 80
Pre requisites: N/A
Click here for the Training Program Outline
Click here to apply for this training course
This program will provide fundamental skills and knowledge for paddling in a canoe and a kayak.
Note: Times listed are indicative only and will be confirmed pre-course.</t>
  </si>
  <si>
    <t>8af60adf-5210-4364-89f8-6f131776b40f</t>
  </si>
  <si>
    <t>ca8c6887-ec88-4641-84f4-8b004dfaf1c8</t>
  </si>
  <si>
    <t>440404a2-cc01-4784-ac91-b390506c3994</t>
  </si>
  <si>
    <t>Applications Close: 06/02/2025
Course Number: 2400SP2602
Course Fee: $ 80
Pre requisites: N/A
Click here for the Training Program Outline
Click here to apply for this training course
This program will provide fundamental skills and knowledge for paddling in a canoe and a kayak.
Note: Times listed are indicative only and will be confirmed pre-course.</t>
  </si>
  <si>
    <t>f659c6c7-28fc-47a7-8254-71356a211068</t>
  </si>
  <si>
    <t>3c0c8687-4fc9-47d7-bd61-d51e5bd75747</t>
  </si>
  <si>
    <t>Scouting Adventure (Townsville)</t>
  </si>
  <si>
    <t>Applications Close: 06/02/2026
Course Number: 1102602
Course Fee: $ 170.00
Pre requisites: Scouting Essentials and completion of Scouting Adventure On Demand learning
Click here for the Training Program Outline
Click here to apply for this training course
This program will provide leaders of youth the skills and knowledge needed to support the delivery of the youth program to achieve Outdoor Adventure Skills Core Stage 3. 
Note: Times listed are indicative only, refer to final course documentation of your course for confirmed course times.</t>
  </si>
  <si>
    <t>4281ed2e-95a1-4979-98ce-5cd27132a132</t>
  </si>
  <si>
    <t>fefee78b-9401-4d3f-819f-39d9cd5fdc98</t>
  </si>
  <si>
    <t>Scouting Leadership (Rockhampton)</t>
  </si>
  <si>
    <t>Applications Close: 20/02/2026
Course Number: 1302601
Course Fee: $ 170.00
Pre requisites: 6 months since completion of Scouting Adventure or Scouting Management
Click here for the Training Program Outline
Click here to apply for this training course
This program will build on skills and knowledge gained through the delivery of youth program and deepen understanding of Scouting fundamentals.
Note: Times listed are indicative only, refer to final course documentation for your course for confirmed course times.</t>
  </si>
  <si>
    <t>aa428aa7-a978-47c1-9e34-c928ee4c3d9e</t>
  </si>
  <si>
    <t>Region Commissioners Conference</t>
  </si>
  <si>
    <t>Friday to Sunday</t>
  </si>
  <si>
    <t>0a13fa73-9b30-4910-97d2-d9a4a364003a</t>
  </si>
  <si>
    <t>Basic Water Rescue (FNR)</t>
  </si>
  <si>
    <t>Applications Close: 20/02/2026
Course Number: 2000SK2601
Course Fee: $ 55
Pre requisites: Adult Supporters, Adult Leaders, Rover Scouts, Venturer Scouts 
Click here to apply for this training course
This program will provide skills and knowledge required to perform basic water rescues in indoor and outdoor aquatic venues
Note: Times listed are indicative only and will be confirmed pre-course.</t>
  </si>
  <si>
    <t>e304bc6c-ff88-4543-b7f6-42f2cd933746</t>
  </si>
  <si>
    <t>Snorkelling - SP/Guide (Sunshine Coast)</t>
  </si>
  <si>
    <t>Applications Close: 20/02/2026
Course Number: 2500PR2601
Course Fee: $ 155.00
Pre requisites: N/A
Click here for the Training Program Outline
Click here to apply for this training course
This program will provide skills and knowledge to snorkel and prepare, lead and supervise a snorkelling session .
Note: Times listed are indicative only and will be confirmed pre-course.</t>
  </si>
  <si>
    <t>7db23fe0-4b71-4e1f-b0e2-6a35548925c3</t>
  </si>
  <si>
    <t>Scouting Management - Group Leaders (Online)</t>
  </si>
  <si>
    <t>Applications Close: 20/02/2026
Course Number: 1202601OL
Course Fee: $ 80.00
Pre requisites: Scouting Essentials and completion of Scouting Management On Demand learning
Click here for the Training Program Outline
Click here to apply for this training course
This program will provide leaders of adults the skills and knowledge needed to manage and administer a formation at a group level to support the delivery of youth program. Note: This is the same curriculum as Scouting Management (for Commissioners and Advisers) but 
with Group Leader relevant examples  
Note: Times listed are indicative only, refer to final course documentation of your course for confirmed course times.</t>
  </si>
  <si>
    <t>6602036c-cd0a-432e-8c53-63cee8342cfc</t>
  </si>
  <si>
    <t>25f0b97d-70e5-4b4a-adc7-e06683840edf</t>
  </si>
  <si>
    <t>Scouting Leadership (Brisbane)</t>
  </si>
  <si>
    <t>Applications Close: 20/02/2026
Course Number: 1302602
Course Fee: $ 170.00
Pre requisites: 6 months since completion of Scouting Adventure or Scouting Management
Click here for the Training Program Outline
Click here to apply for this training course
This program will build on skills and knowledge gained through the delivery of youth program and deepen understanding of Scouting fundamentals.
Note: Times listed are indicative only, refer to final course documentation for your course for confirmed course times.</t>
  </si>
  <si>
    <t>a19e56e9-d788-4155-85e4-51a4480235b3</t>
  </si>
  <si>
    <t>Scouting Adventure (Mackay)</t>
  </si>
  <si>
    <t>Applications Close: 20/02/2026
Course Number: 1102603
Course Fee: $ 170.00
Pre requisites: Scouting Essentials and completion of Scouting Adventure On Demand learning
Click here for the Training Program Outline
Click here to apply for this training course
This program will provide leaders of youth the skills and knowledge needed to support the delivery of the youth program to achieve Outdoor Adventure Skills Core Stage 3. 
Note: Times listed are indicative only, refer to final course documentation of your course for confirmed course times.</t>
  </si>
  <si>
    <t>6a6d9415-3f91-4c31-946d-e4839aa7c365</t>
  </si>
  <si>
    <t>Scouting Essentials (Emerald) Course</t>
  </si>
  <si>
    <t>Applications Close: 20/02/2026
Course Number: 1002602
Course Fee: $ 170.00
Pre requisites: Certificate of Adult Membership - Adult Leaders, Rover Scouts 
Click here for the Training Program Outline
Click here to apply for this training course
This program will provide the skills and knowledge needed to plan and deliver activities to implement the Youth Program at weekly meetings and overnight activities.
Note: Times listed are indicative only, refer to final course documentation for your course for confirmed course times.</t>
  </si>
  <si>
    <t>b44d5757-6664-4a45-b96c-c92d51aac3e2</t>
  </si>
  <si>
    <t>Scouting Leadership (Townsville)</t>
  </si>
  <si>
    <t>Applications Close: 20/02/2026
Course Number: 1302603
Course Fee: $ 170.00
Pre requisites: 6 months since completion of Scouting Adventure or Scouting Management
Click here for the Training Program Outline
Click here to apply for this training course
This program will build on skills and knowledge gained through the delivery of youth program and deepen understanding of Scouting fundamentals.
Note: Times listed are indicative only, refer to final course documentation for your course for confirmed course times.</t>
  </si>
  <si>
    <t>fc3cab41-ae22-421e-aa14-0e785ce00637</t>
  </si>
  <si>
    <t>Hop-a-long Leader Conference</t>
  </si>
  <si>
    <t>896491c9-d8d5-4c91-a28c-5fd2be2490cd</t>
  </si>
  <si>
    <t>e8351e4e-db4c-4dde-8440-2f47924f63ba</t>
  </si>
  <si>
    <t>28db3fa8-f1ba-4ea4-b61f-5fe97277a2dc</t>
  </si>
  <si>
    <t>db149e29-7ffe-4cbd-8016-95db327c3415</t>
  </si>
  <si>
    <t>3.0</t>
  </si>
  <si>
    <t>33f754cf-d003-426f-bb39-1738a0cafc02</t>
  </si>
  <si>
    <t>8cd69900-8827-485c-848b-d2e780cfb0ff</t>
  </si>
  <si>
    <t>Applications Close: 27/02/2026
Course Number: 1102604
Course Fee: $ 170.00
Pre requisites: Scouting Essentials and completion of Scouting Adventure On Demand learning
Click here for the Training Program Outline
Click here to apply for this training course
This program will provide leaders of youth the skills and knowledge needed to support the delivery of the youth program to achieve Outdoor Adventure Skills Core Stage 3. 
Note: Times listed are indicative only, refer to final course documentation of your course for confirmed course times.</t>
  </si>
  <si>
    <t>fe4c47e6-e4fa-4893-bb86-ad17a0b086cc</t>
  </si>
  <si>
    <t>Applications Close: 27/02/2026
Course Number: 1202602
Course Fee: $ 170
Pre requisites: Scouting Essentials and completion of Scouting Management On Demand learning
Click here for the Training Program Outline
Click here to apply for this training course
This program will provide leaders of adults the skills and knowledge needed to manage and administer a formation at a group level to support the delivery of youth program. Note: This is the same curriculum as Scouting Management (for Commissioners and Advisers) but 
with Group Leader relevant examples  
Note: Times listed are indicative only, refer to final course documentation of your course for confirmed course times.</t>
  </si>
  <si>
    <t>dcecdce8-e7c9-4d08-9439-1b706fb70da5</t>
  </si>
  <si>
    <t>Applications Close: 27/02/2026
Course Number: 1002603
Course Fee: $ 170.00
Pre requisites: Certificate of Adult Membership - Adult Leaders, Rover Scouts 
Click here for the Training Program Outline
Click here to apply for this training course
This program will provide the skills and knowledge needed to plan and deliver activities to implement the Youth Program at weekly meetings and overnight activities.
Note: Times listed are indicative only, refer to final course documentation for your course for confirmed course times.</t>
  </si>
  <si>
    <t>411af5f3-ddbb-4433-b1ef-672f56b7cd99</t>
  </si>
  <si>
    <t>Scouting Essentials (FNR)</t>
  </si>
  <si>
    <t>Applications Close: 27/02/2026
Course Number: 1002610
Course Fee: $ 170.00
Pre requisites: Certificate of Adult Membership - Adult Leaders, Rover Scouts 
Click here for the Training Program Outline
Click here to apply for this training course
This program will provide the skills and knowledge needed to plan and deliver activities to implement the Youth Program at weekly meetings and overnight activities.
Note: Times listed are indicative only, refer to final course documentation for your course for confirmed course times.</t>
  </si>
  <si>
    <t>c1e22852-342d-4424-905b-4315ddcba274</t>
  </si>
  <si>
    <t>Harmony Day</t>
  </si>
  <si>
    <t>a66e17f5-5b9e-4130-b9dc-bcb26b0a1848</t>
  </si>
  <si>
    <t>72c8b77c-6d46-4607-8363-b2d335f53b4e</t>
  </si>
  <si>
    <t>Region Activity Weekend (RAW)</t>
  </si>
  <si>
    <t>Quarterly</t>
  </si>
  <si>
    <t>9ab5e7d9-1149-476e-bc4f-b77e45a52d3d</t>
  </si>
  <si>
    <t>5f9be2a4-131b-4b05-b061-99e138b9278f</t>
  </si>
  <si>
    <t>Applications Close: 06/03/2026
Course Number: 2000SK2602
Course Fee: $ 55
Pre requisites: Adult Supporters, Adult Leaders, Rover Scouts, Venturer Scouts 
Click here to apply for this training course
This program will provide skills and knowledge required to perform basic water rescues in indoor and outdoor aquatic venues
Note: Times listed are indicative only and will be confirmed pre-course.</t>
  </si>
  <si>
    <t>4eb0bb8f-ff2d-4dc4-9993-de35e0e60c3f</t>
  </si>
  <si>
    <t>6956f55f-4d1f-4814-97bd-82800cc5bfb4</t>
  </si>
  <si>
    <t>6649f6f5-abc7-4c2e-94cb-fee34e0aa5b6</t>
  </si>
  <si>
    <t>Easter Saturday</t>
  </si>
  <si>
    <t>16694e16-e933-4cdb-86e1-58bea2a5ad4b</t>
  </si>
  <si>
    <t>e83e5b02-51e9-495f-9458-25859b31c816</t>
  </si>
  <si>
    <t>e852c331-e149-4225-8a32-d115c077cbd9</t>
  </si>
  <si>
    <t>Cuboree</t>
  </si>
  <si>
    <t>225f3583-3aa4-447d-939c-7318ad75a651</t>
  </si>
  <si>
    <t>Scouting Essentials (Bundaberg)</t>
  </si>
  <si>
    <t>Applications Close: 20/03/2026
Course Number: 1002604
Course Fee: $ 170.00
Pre requisites: Certificate of Adult Membership - Adult Leaders, Rover Scouts 
Click here for the Training Program Outline
Click here to apply for this training course
This program will provide the skills and knowledge needed to plan and deliver activities to implement the Youth Program at weekly meetings and overnight activities.
Note: Times listed are indicative only, refer to final course documentation for your course for confirmed course times.</t>
  </si>
  <si>
    <t>d7378048-adb7-4612-bc5a-a26c99250f45</t>
  </si>
  <si>
    <t>Applications Close: 09/10/2026
Course Number: 1302610OL
Course Fee: $ 80.00
Pre requisites: 6 months since completion of Scouting Adventure or Scouting Management
Click here for the Training Program Outline
Click here to apply for this training course
This program will build on skills and knowledge gained through the delivery of youth program and deepen understanding of Scouting fundamentals.
Note: Times listed are indicative only, refer to final course documentation for your course for confirmed course times.</t>
  </si>
  <si>
    <t>7839eb95-60bd-4d44-97c5-8e7c307f20b6</t>
  </si>
  <si>
    <t>2cbe93c3-85ed-4014-a375-90e0a8da1e89</t>
  </si>
  <si>
    <t>e302698d-d34b-4053-a33f-2c05ef7fe6e6</t>
  </si>
  <si>
    <t>7054efa2-38b2-4da1-bd63-988f7cbcf3d9</t>
  </si>
  <si>
    <t>fc4f3e5f-31c6-4204-8260-319302f7ff2b</t>
  </si>
  <si>
    <t>be052d0d-2131-493d-b92e-2847302b54eb</t>
  </si>
  <si>
    <t>11665a22-9ce4-41e6-acda-78b502a22c96</t>
  </si>
  <si>
    <t>0703b840-436b-42ea-9d00-ddbf5153f4c1</t>
  </si>
  <si>
    <t>Scouting Management - Commissioners and Advisors (Online)</t>
  </si>
  <si>
    <t>Applications Close: 03/04/2026
Course Number: 1212601OL
Course Fee: $ 80.00
Pre requisites: Scouting Essentials and completion of Scouting Management On Demand learning
Click here for the Training Program Outline
Click here to apply for this training course
This program will provide leaders of adults the skills and knowledge needed to manage and administer a formation at a group level to support the delivery of youth program. Note: This is the same curriculum as Scouting Management (for Commissioners and Advisers) but 
with Group Leader relevant examples  
Note: Times listed are indicative only, refer to final course documentation of your course for confirmed course times.</t>
  </si>
  <si>
    <t>7be832cb-2ca8-4c52-842a-327055cfe354</t>
  </si>
  <si>
    <t>ANZAC Day</t>
  </si>
  <si>
    <t>539e962c-eb06-4717-8019-f4ea69045355</t>
  </si>
  <si>
    <t>Joey Leader Online Forum</t>
  </si>
  <si>
    <t>As required</t>
  </si>
  <si>
    <t>67366598-3901-4036-8bf3-db4128610fc2</t>
  </si>
  <si>
    <t>4a0d8abc-6d3b-40ce-bd89-38837a2642d0</t>
  </si>
  <si>
    <t>TNT (Test'N'Track) Moot</t>
  </si>
  <si>
    <t>ff697a3f-adf9-4a84-961d-1ff56b678587</t>
  </si>
  <si>
    <t>278534fb-9b4f-41b9-a4b2-755e2a27621d</t>
  </si>
  <si>
    <t>3dd309f4-fca5-4958-82a5-a6b520b36ef4</t>
  </si>
  <si>
    <t>Scouting Essentials (Rockhampton)</t>
  </si>
  <si>
    <t>Applications Close: 15/05/2026
Course Number: 1002609
Course Fee: $ 170.00
Pre requisites: Certificate of Adult Membership - Adult Leaders, Rover Scouts 
Click here for the Training Program Outline
Click here to apply for this training course
This program will provide the skills and knowledge needed to plan and deliver activities to implement the Youth Program at weekly meetings and overnight activities.
Note: Times listed are indicative only, refer to final course documentation for your course for confirmed course times.</t>
  </si>
  <si>
    <t>c23f9e21-5d48-42f2-95d3-aaf7030ac6eb</t>
  </si>
  <si>
    <t>Scouting Adventure (FNQ)</t>
  </si>
  <si>
    <t>Applications Close: 15/05/2026
Course Number: 1102607
Course Fee: $ 170.00
Pre requisites: Scouting Essentials and completion of Scouting Adventure On Demand learning
Click here for the Training Program Outline
Click here to apply for this training course
This program will provide leaders of youth the skills and knowledge needed to support the delivery of the youth program to achieve Outdoor Adventure Skills Core Stage 3. 
Note: Times listed are indicative only, refer to final course documentation of your course for confirmed course times.</t>
  </si>
  <si>
    <t>5dcd0a80-1f31-4904-aaa4-a1933991bb88</t>
  </si>
  <si>
    <t>Applications Close: 17/07/2026
Course Number: 2000SK2604
Course Fee: $ 55
Pre requisites: Adult Supporters, Adult Leaders, Rover Scouts, Venturer Scouts 
Click here to apply for this training course
This program will provide skills and knowledge required to perform basic water rescues in indoor and outdoor aquatic venues
Note: Times listed are indicative only and will be confirmed pre-course.</t>
  </si>
  <si>
    <t>f67f027d-558f-4e03-b61b-4240932afd7e</t>
  </si>
  <si>
    <t>e1b88e46-7773-4dbd-b823-9d4b266ac0ef</t>
  </si>
  <si>
    <t>Vertical - Abseiling Natural TP (Wide Bay)</t>
  </si>
  <si>
    <t>Applications Close: 17/04/2026
Course Number: 0
Course Fee: $ 155.00
Pre requisites: Abseiling Natural Safe Participant (SP) appointment
Click here for the Training Program Outline
Click here to apply for this training course
This program will provide skills and knowledge to establish ropes for single pitch abseil, and abseil single pitch on natural surfaces.
Note: Times listed are indicative only and will be confirmed pre-course.</t>
  </si>
  <si>
    <t>1c8738ad-79c8-43a1-90d8-d919e63486ce</t>
  </si>
  <si>
    <t>Scouting Adventure (Bundaberg)</t>
  </si>
  <si>
    <t>Applications Close: 24/04/2026
Course Number: 1102605
Course Fee: $ 170.00
Pre requisites: Scouting Essentials and completion of Scouting Adventure On Demand learning
Click here for the Training Program Outline
Click here to apply for this training course
This program will provide leaders of youth the skills and knowledge needed to support the delivery of the youth program to achieve Outdoor Adventure Skills Core Stage 3. 
Note: Times listed are indicative only, refer to final course documentation of your course for confirmed course times.</t>
  </si>
  <si>
    <t>d22b58b4-f5d8-44a4-a7dc-f39451f4184b</t>
  </si>
  <si>
    <t>Scouting Essentials (Townsville)</t>
  </si>
  <si>
    <t>Applications Close: 24/04/2026
Course Number: 1002605
Course Fee: $ 170.00
Pre requisites: Certificate of Adult Membership - Adult Leaders, Rover Scouts 
Click here for the Training Program Outline
Click here to apply for this training course
This program will provide the skills and knowledge needed to plan and deliver activities to implement the Youth Program at weekly meetings and overnight activities.
Note: Times listed are indicative only, refer to final course documentation for your course for confirmed course times.</t>
  </si>
  <si>
    <t>125f99b7-f4b2-4bf7-ac22-beb297bc34f8</t>
  </si>
  <si>
    <t>Scouting Essentials (Toowoomba)</t>
  </si>
  <si>
    <t>Applications Close: 24/04/2026
Course Number: 1002606
Course Fee: $ 170.00
Pre requisites: Certificate of Adult Membership - Adult Leaders, Rover Scouts 
Click here for the Training Program Outline
Click here to apply for this training course
This program will provide the skills and knowledge needed to plan and deliver activities to implement the Youth Program at weekly meetings and overnight activities.
Note: Times listed are indicative only, refer to final course documentation for your course for confirmed course times.</t>
  </si>
  <si>
    <t>ca081e59-4847-4db6-9841-c9141112ef6c</t>
  </si>
  <si>
    <t>584a1a38-c5e0-4a61-b91c-d127219b8478</t>
  </si>
  <si>
    <t>3807c561-a723-46e3-bd48-14b867d8de81</t>
  </si>
  <si>
    <t>b2480ee7-78c3-4fda-b6fc-88f6efe822f2</t>
  </si>
  <si>
    <t>edfe0c35-6b65-44d4-ae18-4bef0a313c0d</t>
  </si>
  <si>
    <t>a681dc14-5c75-4cc6-a240-014f9bc56aea</t>
  </si>
  <si>
    <t>Applications Close: 01/05/2026
Course Number: 1002607OL
Course Fee: $ 80.00
Pre requisites: Certificate of Adult Membership - Adult Leaders, Rover Scouts 
Click here for the Training Program Outline
Click here to apply for this training course
This program will provide the skills and knowledge needed to plan and deliver activities to implement the Youth Program at weekly meetings and overnight activities.
Note: Times listed are indicative only, refer to final course documentation for your course for confirmed course times.</t>
  </si>
  <si>
    <t>785ddf19-975e-43e1-ba86-9512e08127ab</t>
  </si>
  <si>
    <t>1ebf3941-df7c-4298-be0a-7851f9e0f87a</t>
  </si>
  <si>
    <t>Applications Close: 01/05/2026
Course Number: 1102606
Course Fee: $ 170.00
Pre requisites: Scouting Essentials and completion of Scouting Adventure On Demand learning
Click here for the Training Program Outline
Click here to apply for this training course
This program will provide leaders of youth the skills and knowledge needed to support the delivery of the youth program to achieve Outdoor Adventure Skills Core Stage 3. 
Note: Times listed are indicative only, refer to final course documentation of your course for confirmed course times.</t>
  </si>
  <si>
    <t>34109d95-d0a3-4b51-9003-e10f06cb49c9</t>
  </si>
  <si>
    <t>Applications Close: 01/05/2026
Course Number: 1002608
Course Fee: $ 170.00
Pre requisites: Certificate of Adult Membership - Adult Leaders, Rover Scouts 
Click here for the Training Program Outline
Click here to apply for this training course
This program will provide the skills and knowledge needed to plan and deliver activities to implement the Youth Program at weekly meetings and overnight activities.
Note: Times listed are indicative only, refer to final course documentation for your course for confirmed course times.</t>
  </si>
  <si>
    <t>ae3f0344-a4dd-492a-9cf1-7ee2259ef42f</t>
  </si>
  <si>
    <t>Applications Close: 01/05/2026
Course Number: 1202603
Course Fee: $ 170
Pre requisites: Scouting Essentials and completion of Scouting Management On Demand learning
Click here for the Training Program Outline
Click here to apply for this training course
This program will provide leaders of adults the skills and knowledge needed to manage and administer a formation at a group level to support the delivery of youth program. Note: This is the same curriculum as Scouting Management (for Commissioners and Advisers) but 
with Group Leader relevant examples  
Note: Times listed are indicative only, refer to final course documentation of your course for confirmed course times.</t>
  </si>
  <si>
    <t>f8dc29db-9c5d-4e15-b19b-203cd99df6eb</t>
  </si>
  <si>
    <t>Moreton Region Raft Race</t>
  </si>
  <si>
    <t>0cbdefee-f785-4f71-bcd6-f1f1ef7358c5</t>
  </si>
  <si>
    <t>Operation Archer </t>
  </si>
  <si>
    <t>1eb6d52d-7584-444c-a54d-c125ca114111</t>
  </si>
  <si>
    <t>Paddling - Canoe Inland Flatwater TP (Cairns)</t>
  </si>
  <si>
    <t>Applications Close: 01/05/2026
Course Number: 2401TP2601
Course Fee: $ 155
Pre requisites: Kayaking Flat Water Safe Participant (SP) appointment 
Click here for the Training Program Outline
Click here to apply for this training course
This program will provide skills and knowledge to paddle a kayak on inland flat water, including rescue following capsize 
Note: Times listed are indicative only and will be confirmed pre-course.</t>
  </si>
  <si>
    <t>b05d6cc4-af9a-4bb5-a369-4ee8e59a5f03</t>
  </si>
  <si>
    <t>8f08b1ab-a30b-4c78-8ed1-dd4cc023ae74</t>
  </si>
  <si>
    <t>Joey Scout Step Out</t>
  </si>
  <si>
    <t>Term one</t>
  </si>
  <si>
    <t>0ec30c05-c7a4-403d-a8a4-7b18620005ba</t>
  </si>
  <si>
    <t>3863ec78-00f1-455f-81c2-21603bd8f5b6</t>
  </si>
  <si>
    <t>a9849ffc-da67-4fb7-983d-53ac733ef017</t>
  </si>
  <si>
    <t>90891aab-4aaa-4a5b-9ef1-19ec169ac0aa</t>
  </si>
  <si>
    <t>d30ba519-0ca5-4bff-88ac-5d8cd7a45ed5</t>
  </si>
  <si>
    <t>Cub Scout Day Out (local groups)</t>
  </si>
  <si>
    <t>8d708158-abb4-4f61-b1a7-dae405247a6f</t>
  </si>
  <si>
    <t>Applications Close: 22/05/2026
Course Number: 1102608
Course Fee: $ 170.00
Pre requisites: Scouting Essentials and completion of Scouting Adventure On Demand learning
Click here for the Training Program Outline
Click here to apply for this training course
This program will provide leaders of youth the skills and knowledge needed to support the delivery of the youth program to achieve Outdoor Adventure Skills Core Stage 3. 
Note: Times listed are indicative only, refer to final course documentation of your course for confirmed course times.</t>
  </si>
  <si>
    <t>fb7b4481-918d-4c22-a82e-d55bddedc68e</t>
  </si>
  <si>
    <t>cd15a536-b346-4ea4-8e56-b1d3f60c91f2</t>
  </si>
  <si>
    <t>Applications Close: 22/05/2026
Course Number: 1302605
Course Fee: $ 170.00
Pre requisites: 6 months since completion of Scouting Adventure or Scouting Management
Click here for the Training Program Outline
Click here to apply for this training course
This program will build on skills and knowledge gained through the delivery of youth program and deepen understanding of Scouting fundamentals.
Note: Times listed are indicative only, refer to final course documentation for your course for confirmed course times.</t>
  </si>
  <si>
    <t>22d1ffce-f858-484d-be30-c38a0d9a8b99</t>
  </si>
  <si>
    <t>Applications Close: 22/05/2026
Course Number: 2000SK2603
Course Fee: $ 55
Pre requisites: Adult Supporters, Adult Leaders, Rover Scouts, Venturer Scouts 
Click here to apply for this training course
This program will provide skills and knowledge required to perform basic water rescues in indoor and outdoor aquatic venues
Note: Times listed are indicative only and will be confirmed pre-course.</t>
  </si>
  <si>
    <t>6b3a62a9-1a0c-4aae-af8c-b2a6cbd2cac1</t>
  </si>
  <si>
    <t>80c69675-680c-427f-889a-da2edf266d8a</t>
  </si>
  <si>
    <t>fceb9f80-29cf-4b18-9e0b-e1ea3c7ea256</t>
  </si>
  <si>
    <t>38186386-4508-4d33-97ed-e8ba1fc25b3f</t>
  </si>
  <si>
    <t>14d572da-0d50-40ee-a9f3-1be897e7d22f</t>
  </si>
  <si>
    <t>9b30f4f7-c9dd-4cc2-a254-1fa2a65d46e8</t>
  </si>
  <si>
    <t>Far North Region Moot</t>
  </si>
  <si>
    <t>Bi-annually</t>
  </si>
  <si>
    <t>e0e14aff-4825-42c1-a65a-732dcd7bc004</t>
  </si>
  <si>
    <t>Operation Night Owl</t>
  </si>
  <si>
    <t>3d1785c1-1a48-44c6-8c20-927aa1bdbd43</t>
  </si>
  <si>
    <t>98a6d8bd-0d9c-4725-b1b3-1aa74258f479</t>
  </si>
  <si>
    <t>95dc0082-7a99-4ef6-8649-65fe996b18ec</t>
  </si>
  <si>
    <t>Darling Downs Revue</t>
  </si>
  <si>
    <t>b47d7717-8353-43e0-92b2-f39e29e4d249</t>
  </si>
  <si>
    <t>Vertical - Abseiling (Natural Surfaces) SP (FNR)</t>
  </si>
  <si>
    <t>Applications Close: 05/06/2026
Course Number: 2100SP2601
Course Fee: $ 155.00
Pre requisites: Adult Supporters, Adult Leaders, Rover Scouts, Venturer Scouts
Click here for the Training Program Outline
Click here to apply for this training course
This program will provide fundamental skills and knowledge for abseiling on single pitches.
Note: Times listed are indicative only and will be confirmed pre-course.</t>
  </si>
  <si>
    <t>aeef2d01-f94c-402f-a770-58d8b86f1363</t>
  </si>
  <si>
    <t>LEAP North (Townsville)</t>
  </si>
  <si>
    <t>LEAP North is back for 2026 and it’s set to be the ultimate mid-year adventure for Scouts across Northern Queensland!
Running from 28 June to 4 July 2026 at Tarmaroo Scout Campsite in Bluewater, Townsville, LEAP North is 7 days and 6 nights Scout patrol camp of hands-on adventure, challenge, and fun with your patrol. Get ready to LEAP into adventure!
LEAP North also has a sister event, LEAP South hosted in Brisbane</t>
  </si>
  <si>
    <t>f7f0ef29-d452-4a9c-b5d1-418c267a00a2</t>
  </si>
  <si>
    <t>Youth Awards Submission Deadline</t>
  </si>
  <si>
    <t>Awareness and Strategic Communication</t>
  </si>
  <si>
    <t>f973e30e-304f-4834-a404-e78868927fd1</t>
  </si>
  <si>
    <t>Preparing for Launch</t>
  </si>
  <si>
    <t>July - August 2026 • Time for Branches to prepare for implementation and brief Program Support Leaders • Nationally-facilitated training for Program Support Leaders to up skill and enable them to support implementation • Work to update Scouts | Terrain begins (pending outcome of NST analysis) • Planned updates continue to other categories of program resources (KM1 resources working group)</t>
  </si>
  <si>
    <t>High</t>
  </si>
  <si>
    <t>Program Essentials and Achievement Evolution</t>
  </si>
  <si>
    <t>In progress</t>
  </si>
  <si>
    <t>2.0</t>
  </si>
  <si>
    <t>d32cda83-5fdf-4dab-9609-a42c8ced4568</t>
  </si>
  <si>
    <t>Achievement Pathways Improvements (2026)</t>
  </si>
  <si>
    <t>Preparing for Launch (Achievement Pathways Improvements (2026))</t>
  </si>
  <si>
    <t>8c915878-fccf-43ed-bc87-36737a6d8c4c</t>
  </si>
  <si>
    <t>024c91bb-6fea-4d6c-b5bf-4da47c57de13</t>
  </si>
  <si>
    <t>LEAP South (Brisbane)</t>
  </si>
  <si>
    <t>LEAP South is back for 2026 and it’s set to be the ultimate mid-year adventure for Scouts across Southern Queensland!
Running from 3 to 7 July 2026 at Baden-Powell Park in Samford Village, LEAP South is 5 days and 4 nights Scout patrol camp of hands-on adventure, challenge, and fun with your patrol. Get ready to
LEAP into adventure! Check out our event website at Here
LEAP South also has a sister event, LEAP North hosted in Townsville.</t>
  </si>
  <si>
    <t>2cfca500-eda1-4635-80f9-f36f57f37057</t>
  </si>
  <si>
    <t>Applications Close: 19/06/2026
Course Number: 1102609
Course Fee: $ 170.00
Pre requisites: Scouting Essentials and completion of Scouting Adventure On Demand learning
Click here for the Training Program Outline
Click here to apply for this training course
This program will provide leaders of youth the skills and knowledge needed to support the delivery of the youth program to achieve Outdoor Adventure Skills Core Stage 3. 
Note: Times listed are indicative only, refer to final course documentation of your course for confirmed course times.</t>
  </si>
  <si>
    <t>e9ff805e-0fff-4e67-ab82-90499c1101b4</t>
  </si>
  <si>
    <t>Applications Close: 19/06/2026
Course Number: 1002611
Course Fee: $ 170.00
Pre requisites: Certificate of Adult Membership - Adult Leaders, Rover Scouts 
Click here for the Training Program Outline
Click here to apply for this training course
This program will provide the skills and knowledge needed to plan and deliver activities to implement the Youth Program at weekly meetings and overnight activities.
Note: Times listed are indicative only, refer to final course documentation for your course for confirmed course times.</t>
  </si>
  <si>
    <t>7baefa0c-ec11-4618-ae43-607f157bb941</t>
  </si>
  <si>
    <t>Kokoda Junior Games</t>
  </si>
  <si>
    <t>5182fce8-3251-41d3-b55e-04795a57583a</t>
  </si>
  <si>
    <t>f93bf081-3379-424b-b638-2c77ca399cd5</t>
  </si>
  <si>
    <t>6.0</t>
  </si>
  <si>
    <t>5ba4907c-4964-4511-9104-7daa4fdbc80b</t>
  </si>
  <si>
    <t>C5 signed off</t>
  </si>
  <si>
    <t>Critical</t>
  </si>
  <si>
    <t>Ability and Practical Enablement</t>
  </si>
  <si>
    <t>8.0</t>
  </si>
  <si>
    <t>01149c89-e6d1-47e2-a909-5214c7525d07</t>
  </si>
  <si>
    <t>097cabd6-b940-480d-ac07-84435d46f698</t>
  </si>
  <si>
    <t>Applications Close: 26/06/2025
Course Number: 1102610
Course Fee: $ 170.00
Pre requisites: Scouting Essentials and completion of Scouting Adventure On Demand learning
Click here for the Training Program Outline
Click here to apply for this training course
This program will provide leaders of youth the skills and knowledge needed to support the delivery of the youth program to achieve Outdoor Adventure Skills Core Stage 3. 
Note: Times listed are indicative only, refer to final course documentation of your course for confirmed course times.</t>
  </si>
  <si>
    <t>b3f14455-3d9a-492b-84df-7ddf77f7e7e2</t>
  </si>
  <si>
    <t>Applications Close: 26/06/2026
Course Number: 1302606
Course Fee: $ 170.00
Pre requisites: 6 months since completion of Scouting Adventure or Scouting Management
Click here for the Training Program Outline
Click here to apply for this training course
This program will build on skills and knowledge gained through the delivery of youth program and deepen understanding of Scouting fundamentals.
Note: Times listed are indicative only, refer to final course documentation for your course for confirmed course times.</t>
  </si>
  <si>
    <t>e9b5a0c6-9618-453a-9a4a-050cb29875c0</t>
  </si>
  <si>
    <t>Queensland Branch Rover Council Annual Conference</t>
  </si>
  <si>
    <t>aaf68dac-ab42-46ad-8b49-d5af3cb8ea9d</t>
  </si>
  <si>
    <t>District Commissioners Conference</t>
  </si>
  <si>
    <t>1dee35a1-96e1-46e0-9848-e7e5fec44960</t>
  </si>
  <si>
    <t>Branch Youth Council Launch</t>
  </si>
  <si>
    <t>9bd7dccb-d6fb-429e-923c-e563cadb6169</t>
  </si>
  <si>
    <t>7f69bea9-bc5b-48f2-a39d-17e6f479583d</t>
  </si>
  <si>
    <t>Scout Shop provided with updated artwork for Record Books and Program Handbook, to enable start of production</t>
  </si>
  <si>
    <t>Medium</t>
  </si>
  <si>
    <t>Not started</t>
  </si>
  <si>
    <t>2be444a2-ee95-432c-9dad-81b04697ca22</t>
  </si>
  <si>
    <t>Scout Shop provided with updated artwork for Record Books and Program Handbook, to enable start of production (Achievement Pathways Improvements (2026))</t>
  </si>
  <si>
    <t>8571288c-c959-4bb1-b806-69137eca95ab</t>
  </si>
  <si>
    <t>Tyakunda Trailblazer</t>
  </si>
  <si>
    <t>Tyakunda Trailblazer is a multi-section (Joeys to Rovers) annual  competition hosted by Tyakunda District.
Contact: trailblazer@tyakunda.scoutsqld.com.au.</t>
  </si>
  <si>
    <t>Section : Cub Scouts|Section : Joey Scouts|Section : Venturer Scouts|Section: Rover Scouts|Section: Scouts</t>
  </si>
  <si>
    <t>ce2aaeca-8979-4318-8c86-2b5e0bc09c42</t>
  </si>
  <si>
    <t>0cceed35-8de3-4270-8673-3680a2431e6f</t>
  </si>
  <si>
    <t>f13b656c-d3f2-4233-9071-12ed81355c12</t>
  </si>
  <si>
    <t>Applications Close: 26/06/2026
Course Number: 1202604OL
Course Fee: $ 170
Pre requisites: Scouting Essentials and completion of Scouting Management On Demand learning
Click here for the Training Program Outline
Click here to apply for this training course
This program will provide leaders of adults the skills and knowledge needed to manage and administer a formation at a group level to support the delivery of youth program. Note: This is the same curriculum as Scouting Management (for Commissioners and Advisers) but 
with Group Leader relevant examples  
Note: Times listed are indicative only, refer to final course documentation of your course for confirmed course times.</t>
  </si>
  <si>
    <t>39891d6c-3ff6-4356-a970-a11575c6a6a1</t>
  </si>
  <si>
    <t>Adventurous Activities Conference</t>
  </si>
  <si>
    <t>7b97d059-d0f8-4bd0-aa26-ef05b2342db8</t>
  </si>
  <si>
    <t>c27292b5-f2ee-490e-a66c-0be0c2dde69e</t>
  </si>
  <si>
    <t>Branch Council (AGM)</t>
  </si>
  <si>
    <t>Last Thursday of July</t>
  </si>
  <si>
    <t>2bac7f26-3cd2-44c9-adde-ab4ad6aaef1c</t>
  </si>
  <si>
    <t>Scouting Essentials (Sunshine Coast)</t>
  </si>
  <si>
    <t>Applications Close: 10/07/2026
Course Number: 1002612
Course Fee: $ 170.00
Pre requisites: Certificate of Adult Membership
Click here for the Training Program Outline
Click here to apply for this training course
This program will provide the skills and knowledge needed to plan and deliver activities to implement the Youth Program at weekly meetings and overnight activities.
Note: Times listed are indicative only, refer to final course documentation for your course for confirmed course times.</t>
  </si>
  <si>
    <t>78ea9f82-61b8-4af0-b23f-b83a12267142</t>
  </si>
  <si>
    <t>Scouting Leadership (FNR)</t>
  </si>
  <si>
    <t>Applications Close: 10/07/2026
Course Number: 1302607
Course Fee: $ 170.00
Pre requisites: 6 months since completion of Scouting Adventure or Scouting Management
Click here for the Training Program Outline
Click here to apply for this training course
This program will build on skills and knowledge gained through the delivery of youth program and deepen understanding of Scouting fundamentals.
Note: Times listed are indicative only, refer to final course documentation for your course for confirmed course times.</t>
  </si>
  <si>
    <t>e9759f05-fb92-4d48-9a13-456ef13653fd</t>
  </si>
  <si>
    <t>Information sessions for Program Support Leaders</t>
  </si>
  <si>
    <t>Information sessions for Program Support Leaders
(Branches to invite their teams to four Branch-specific
sessions)
 Tuesday, 4 August: QLD &amp; ACT
 Thursday, 6 August: WA &amp; SA
 Monday, 10 August: NSW &amp; TAS
 Wednesday, 12 August: VIC &amp; NT</t>
  </si>
  <si>
    <t>97db601e-a9a6-47b6-8c75-a1e630d71985</t>
  </si>
  <si>
    <t>Information sessions for Program Support Leaders (Achievement Pathways Improvements (2026))</t>
  </si>
  <si>
    <t>Implementation support packs provided to Branch program teams</t>
  </si>
  <si>
    <t>Implementation support packs provided to Branch
program teams
 Explanation of improvements
 Summary of change management and process
 Outline of resource and digital upgrades
 Articles for Branch newsletters in September
 Information slide deck</t>
  </si>
  <si>
    <t>d8e19e3e-62d3-413e-a4f3-6de74dcadec1</t>
  </si>
  <si>
    <t>Implementation support packs provided to Branch program teams (Achievement Pathways Improvements (2026))</t>
  </si>
  <si>
    <t>Joey Scout Jaunt (South)</t>
  </si>
  <si>
    <t>4b4640dc-f5d2-4e5c-9a37-374dc2411919</t>
  </si>
  <si>
    <t>a5add4cc-d01b-427d-9acf-5497c1e4a5f8</t>
  </si>
  <si>
    <t>World Scout Day</t>
  </si>
  <si>
    <t>1 August every year</t>
  </si>
  <si>
    <t>7cb1cf87-b140-4534-a791-1340010250f9</t>
  </si>
  <si>
    <t>Memo to all National Training Team</t>
  </si>
  <si>
    <t>Memo to all National Training Team
 Summary of improvements
 Details about when to begin delivery
 Slide deck for training courses</t>
  </si>
  <si>
    <t>bdc3e412-481f-48bb-b8f4-cf04fe974d16</t>
  </si>
  <si>
    <t>Memo to all National Training Team (Achievement Pathways Improvements (2026))</t>
  </si>
  <si>
    <t>5f8da6db-664a-48b8-9b76-31cce961574f</t>
  </si>
  <si>
    <t>Achievement Pathways Improvements Briefing (Qld / ACT)</t>
  </si>
  <si>
    <t>Tuesday, 4 August: QLD &amp; ACT
Thursday, 6 August: WA &amp; SA
Monday, 10 August: NSW &amp; TAS
Wednesday, 12 August: VIC &amp; NT</t>
  </si>
  <si>
    <t>MS Teams</t>
  </si>
  <si>
    <t>4943e125-27e3-4ea9-b86a-3dc0f045f1d5</t>
  </si>
  <si>
    <t>Achievement Pathways Improvements Briefing (Qld / ACT) (Achievement Pathways Improvements (2026))</t>
  </si>
  <si>
    <t>705d9268-c1c7-4aba-957d-717f0926a208</t>
  </si>
  <si>
    <t>Royal Queensland Show (Ekka)</t>
  </si>
  <si>
    <t>c02f67e0-b5ef-45bc-97eb-50fdb55d6bd0</t>
  </si>
  <si>
    <t>Applications Close: 17/07/2026
Course Number: 2100SP2602
Course Fee: $ 155.00
Pre requisites: Adult Supporters, Adult Leaders, Rover Scouts, Venturer Scouts
Click here for the Training Program Outline
Click here to apply for this training course
This program will provide fundamental skills and knowledge for abseiling on single pitches.
Note: Times listed are indicative only and will be confirmed pre-course.</t>
  </si>
  <si>
    <t>a083c1d0-7826-4535-80c2-e40b0e0a20e6</t>
  </si>
  <si>
    <t>Operation Nighthawk</t>
  </si>
  <si>
    <t>b60f8a7a-90a6-4422-8124-2737ba63d99b</t>
  </si>
  <si>
    <t>166c6edf-823f-46b2-9147-c64cd4b56930</t>
  </si>
  <si>
    <t>b8e0c025-133c-4c59-b84e-0dff98b0e710</t>
  </si>
  <si>
    <t>Applications Close: 18/09/2026
Course Number: 1212602OL
Course Fee: $ 80.00
Pre requisites: Scouting Essentials and completion of Scouting Management On Demand learning
Click here for the Training Program Outline
Click here to apply for this training course
This program will provide leaders of adults the skills and knowledge needed to manage and administer a formation at a group level to support the delivery of youth program. Note: This is the same curriculum as Scouting Management (for Commissioners and Advisers) but 
with Group Leader relevant examples  
Note: Times listed are indicative only, refer to final course documentation of your course for confirmed course times.</t>
  </si>
  <si>
    <t>258cf5ac-d133-482f-a57e-9752b3fdb433</t>
  </si>
  <si>
    <t>426297e1-290e-44db-b3cf-01c87396df15</t>
  </si>
  <si>
    <t>Basic Water Rescue (Wide Bay)</t>
  </si>
  <si>
    <t>Applications Close: 16/10/2026
Course Number: 0
Course Fee: $ 55
Pre requisites: Adult Supporters, Adult Leaders, Rover Scouts, Venturer Scouts 
Click here to apply for this training course
This program will provide skills and knowledge required to perform basic water rescues in indoor and outdoor aquatic venues
Note: Times listed are indicative only and will be confirmed pre-course.</t>
  </si>
  <si>
    <t>8c032ce4-0aef-4647-8152-ad9764bce400</t>
  </si>
  <si>
    <t>8cb9876f-e1e3-4768-9439-55a7de618bc1</t>
  </si>
  <si>
    <t>Royal Queensland Show (Ekka) Public Holiday</t>
  </si>
  <si>
    <t>836aca3b-2cba-4a1b-9ec7-8722c94e6076</t>
  </si>
  <si>
    <t>National Youth Program Team approves OAS IStatement wording changes</t>
  </si>
  <si>
    <t>National Youth Program Team approves OAS IStatement
wording changes</t>
  </si>
  <si>
    <t>140ae2af-e5ab-4d1c-833b-7812ef77a8e1</t>
  </si>
  <si>
    <t>National Youth Program Team approves OAS IStatement wording changes (Achievement Pathways Improvements (2026))</t>
  </si>
  <si>
    <t>Archery - SP/TP/G (Wide Bay)</t>
  </si>
  <si>
    <t>Applications Close: 24/07/2026
Course Number: 0
Course Fee: $ 155
Pre requisites: N/A
Click here for the Training Program Outline
Click here to apply for this training course
This program will provide skills and knowledge to shoot a recurve or long bow; and prepare, lead and supervise an archery session on a target archery range.
Note: Times listed are indicative only and will be confirmed pre-course.</t>
  </si>
  <si>
    <t>726593de-da44-4743-9758-25288ad09198</t>
  </si>
  <si>
    <t>88b4d2da-180d-490e-becb-09f211faf7a1</t>
  </si>
  <si>
    <t>890ebab0-e977-4dd8-9484-83aa72e00f23</t>
  </si>
  <si>
    <t>a58b1a79-9c7a-487e-a261-48d0994b2ac1</t>
  </si>
  <si>
    <t>b3e53c8b-e717-4066-a69a-b4c35ab73c80</t>
  </si>
  <si>
    <t>5a4bf66c-6e9c-4466-b145-c5990fe6af6c</t>
  </si>
  <si>
    <t>Presentation to National Rover Council on improvements and program support</t>
  </si>
  <si>
    <t>0d1417c6-8e26-4c57-8368-641c9d010369</t>
  </si>
  <si>
    <t>Presentation to National Rover Council on improvements and program support (Achievement Pathways Improvements (2026))</t>
  </si>
  <si>
    <t>Applications Close: 24/07/2026
Course Number: 1002613OL
Course Fee: $ 170.00
Pre requisites: Certificate of Adult Membership - Adult Leaders, Rover Scouts 
Click here for the Training Program Outline
Click here to apply for this training course
This program will provide the skills and knowledge needed to plan and deliver activities to implement the Youth Program at weekly meetings and overnight activities.
Note: Times listed are indicative only, refer to final course documentation for your course for confirmed course times.</t>
  </si>
  <si>
    <t>b083360c-6573-4813-8019-020cee682e8c</t>
  </si>
  <si>
    <t>929d0be2-0694-49f7-a28c-9f3678de76b7</t>
  </si>
  <si>
    <t>5ed256dd-1825-457b-8714-67b27d9f4fcd</t>
  </si>
  <si>
    <t>2cc6d158-46b6-40fb-97ae-f0c3d0a29001</t>
  </si>
  <si>
    <t>Scouting Adventure (Toowoomba)</t>
  </si>
  <si>
    <t>Applications Close: 31/07/2026
Course Number: 1102611
Course Fee: $ 170.00
Pre requisites: Scouting Essentials and completion of Scouting Adventure On Demand learning
Click here for the Training Program Outline
Click here to apply for this training course
This program will provide leaders of youth the skills and knowledge needed to support the delivery of the youth program to achieve Outdoor Adventure Skills Core Stage 3. 
Note: Times listed are indicative only, refer to final course documentation of your course for confirmed course times.</t>
  </si>
  <si>
    <t>8522acdc-9f75-4e12-b67f-ec337da5d4c3</t>
  </si>
  <si>
    <t>Vertical - Abseiling Natural Surfaces -TP (FNR)</t>
  </si>
  <si>
    <t>Applications Close: 31/07/2026
Course Number: 2100TP2601
Course Fee: $ 155.00
Pre requisites: Abseiling Natural Safe Participant (SP) appointment
Click here for the Training Program Outline
Click here to apply for this training course
This program will provide skills and knowledge to establish ropes for single pitch abseil, and abseil single pitch on natural surfaces.
Note: Times listed are indicative only and will be confirmed pre-course.</t>
  </si>
  <si>
    <t>5a148cff-eca4-4496-8352-72ad73a0617d</t>
  </si>
  <si>
    <t>f7f71dde-0d2a-4b0d-959c-baa9bdb8ec9f</t>
  </si>
  <si>
    <t>National Youth Program Team face-to-face meeting</t>
  </si>
  <si>
    <t xml:space="preserve">
 Feedback from information sessions
 Plan for next stages of implementation plan
 Discussion of Terrain upgrades
 Plans for future continuous improvement</t>
  </si>
  <si>
    <t>2ace3a0b-4cd0-4795-b91b-988006208ebb</t>
  </si>
  <si>
    <t>National Youth Program Team face-to-face meeting (Achievement Pathways Improvements (2026))</t>
  </si>
  <si>
    <t>Awards Ceremony (Saturday afternoon)</t>
  </si>
  <si>
    <t>Youth and Adult Awards</t>
  </si>
  <si>
    <t>a3584012-029a-4dd3-a60c-c4fa556824ad</t>
  </si>
  <si>
    <t>Awards Ceremony (Sunday morning)</t>
  </si>
  <si>
    <t>e9b26415-4a6f-4435-9c6b-58ffa527e985</t>
  </si>
  <si>
    <t>Launch in time for Term 4</t>
  </si>
  <si>
    <t>September 2026 • Announcement and marketing campaign begins • pr.scouts.com.au retired and replaced by Zoho knowledge base • Adult Training updates launched • Webinars held to explain improvements and up skill Youth Program Leaders</t>
  </si>
  <si>
    <t>36dd20d8-0500-4a6d-86e1-a46d080dce63</t>
  </si>
  <si>
    <t>Launch in time for Term 4 (Achievement Pathways Improvements (2026))</t>
  </si>
  <si>
    <t>Social media promotion for Program Pulse, encouraging Units to complete towards the end of Term 3</t>
  </si>
  <si>
    <t>8cf822d3-499a-410e-ad9e-24093e293ca1</t>
  </si>
  <si>
    <t>Social media promotion for Program Pulse, encouraging Units to complete towards the end of Term 3 (Achievement Pathways Improvements (2026))</t>
  </si>
  <si>
    <t>Australian National Flag Day</t>
  </si>
  <si>
    <t>09376970-40c4-4911-bf68-c5f9e8dbda76</t>
  </si>
  <si>
    <t>0f2b5f32-ba2c-4b37-af5a-ed25951bea0b</t>
  </si>
  <si>
    <t>Skillorama has lots of fun bases with activities especially designed by Scouts and Venturers.
For Joeys Cubs and Guides to enjoy.</t>
  </si>
  <si>
    <t>041ee888-bdf1-44e4-b425-b6eddd07d33a</t>
  </si>
  <si>
    <t>616d4161-0b6b-4de7-ae79-e7c133cc20cb</t>
  </si>
  <si>
    <t>Scouting Leadership (Emerald)</t>
  </si>
  <si>
    <t>Applications Close: 18/09/2026
Course Number: 1302608
Course Fee: $ 170.00
Pre requisites: 6 months since completion of Scouting Adventure or Scouting Management
Click here for the Training Program Outline
Click here to apply for this training course
This program will build on skills and knowledge gained through the delivery of youth program and deepen understanding of Scouting fundamentals.
Note: Times listed are indicative only, refer to final course documentation for your course for confirmed course times.</t>
  </si>
  <si>
    <t>ccae4875-0e66-42c7-8a29-ad9ae91b1585</t>
  </si>
  <si>
    <t>Scouting Essentials (FNQ)</t>
  </si>
  <si>
    <t>Applications Close: 18/09/2026
Course Number: 1002615
Course Fee: $ 170.00
Pre requisites: Certificate of Adult Membership - Adult Leaders, Rover Scouts 
Click here for the Training Program Outline
Click here to apply for this training course
This program will provide the skills and knowledge needed to plan and deliver activities to implement the Youth Program at weekly meetings and overnight activities.
Note: Times listed are indicative only, refer to final course documentation for your course for confirmed course times.</t>
  </si>
  <si>
    <t>09c05a47-597e-4840-85af-9fc2e245fdca</t>
  </si>
  <si>
    <t>40089580-b611-40f0-9243-9601132b5a94</t>
  </si>
  <si>
    <t>52b78eea-2f67-40ed-acf6-6e4bc0d652c1</t>
  </si>
  <si>
    <t>Applications Close: 21/08/2026
Course Number: 2301PR2602
Course Fee: $ 90.00
Pre requisites: Ability to ride a bike - Adult Supporters, Adult Leaders, Rover Scouts, Venturer Scouts
Click here for the Training Program Outline
Click here to apply for this training course
This program will provide skills and knowledge to setup, maintain and repair a bicycle; plan routes; and ride off-road bicycles on easy to intermediate trails (eg mountain bike trails). 
Note: Times listed are indicative only and will be confirmed pre-course.</t>
  </si>
  <si>
    <t>cdb15d51-98ca-4b61-9dfb-567faafc6099</t>
  </si>
  <si>
    <t>f6d64fd1-f83a-4c6e-b7d1-c12796624a3c</t>
  </si>
  <si>
    <t>4aea9579-0cd1-450d-bf5e-8d6a286b12bf</t>
  </si>
  <si>
    <t>Migration of existing resources on pr.scouts.com.au to Zoho knowledge base complete</t>
  </si>
  <si>
    <t>aa8abb34-274a-4db7-9043-23f9e9c43ca0</t>
  </si>
  <si>
    <t>Migration of existing resources on pr.scouts.com.au to Zoho knowledge base complete (Achievement Pathways Improvements (2026))</t>
  </si>
  <si>
    <t>Agoonoree</t>
  </si>
  <si>
    <t>eac60cdf-84f5-402f-89af-4b77931f3580</t>
  </si>
  <si>
    <t>d9ff2238-cf2b-45a8-9cb2-e2dac081b3ba</t>
  </si>
  <si>
    <t>cc9ba26a-cebe-4e9e-a202-b7f44c7f84b9</t>
  </si>
  <si>
    <t>Training modules for flexible volunteering trial updated to reflect Achievement Pathways changes</t>
  </si>
  <si>
    <t>3c543166-4cd5-4339-8aa1-c7ab1b2714f9</t>
  </si>
  <si>
    <t>Training modules for flexible volunteering trial updated to reflect Achievement Pathways changes (Achievement Pathways Improvements (2026))</t>
  </si>
  <si>
    <t>7bdbec32-fa6d-4c72-90e3-88548b049548</t>
  </si>
  <si>
    <t>Zoho knowledge base launched / pr.scouts.com.au retired and redirecting to Zoho</t>
  </si>
  <si>
    <t>ce5aeaa9-6e33-47e5-9530-f6e1af842926</t>
  </si>
  <si>
    <t>Zoho knowledge base launched / pr.scouts.com.au retired and redirecting to Zoho (Achievement Pathways Improvements (2026))</t>
  </si>
  <si>
    <t>EDM with announcement of improvements and information for webinars</t>
  </si>
  <si>
    <t>6c5ce6c7-74ba-4260-a84c-0c2c03dc00e9</t>
  </si>
  <si>
    <t>EDM with announcement of improvements and information for webinars (Achievement Pathways Improvements (2026))</t>
  </si>
  <si>
    <t>Announcement video posted on social media (ask Branches to share the post)</t>
  </si>
  <si>
    <t>d4c7eb49-1406-44d9-8485-73b9059f8b35</t>
  </si>
  <si>
    <t>Announcement video posted on social media (ask Branches to share the post) (Achievement Pathways Improvements (2026))</t>
  </si>
  <si>
    <t>Amateur Radio Foundation Licensing Course</t>
  </si>
  <si>
    <t>Location TBA.</t>
  </si>
  <si>
    <t>8a18976b-ad46-458c-8ffa-59b296ed7a52</t>
  </si>
  <si>
    <t>Paddling - Sea Kayaking School (Yeppoon)</t>
  </si>
  <si>
    <t>Applications Close: 04/09/2026
Course Number: 2403PR2601
Course Fee: $ 
Pre requisites: N/A
Click here for the Training Program Outline
Click here to apply for this training course
This program will provide opportunity to develop and prac se sea kayaking skills in enclosed and sheltered coastal environments 
Note: Times listed are indicative only and will be confirmed pre-course.</t>
  </si>
  <si>
    <t>1840df5b-8d55-4860-a88b-0f645370cd20</t>
  </si>
  <si>
    <t>National News article with further info about improvements and webinars</t>
  </si>
  <si>
    <t>eb248d57-6225-430c-a242-b79075c02d71</t>
  </si>
  <si>
    <t>National News article with further info about improvements and webinars (Achievement Pathways Improvements (2026))</t>
  </si>
  <si>
    <t>Social media campaign to support awareness of improvements and webinars</t>
  </si>
  <si>
    <t>f00061af-f352-40c1-990f-41ede6af3423</t>
  </si>
  <si>
    <t>Social media campaign to support awareness of improvements and webinars (Achievement Pathways Improvements (2026))</t>
  </si>
  <si>
    <t>Achievement Pathways webinars for Youth Program Leaders and Unit Councils (4 webinars + publish recording afterwards)</t>
  </si>
  <si>
    <t>Achievement Pathways webinars for Youth Program
Leaders and Unit Councils (4 webinars + publish
recording afterwards)</t>
  </si>
  <si>
    <t>ba15c1fb-11db-4c5e-8337-36631e4d34a9</t>
  </si>
  <si>
    <t>Achievement Pathways webinars for Youth Program Leaders and Unit Councils (4 webinars + publish recording afterwards) (Achievement Pathways Improvements (2026))</t>
  </si>
  <si>
    <t>8e39c64b-5bc9-4ccb-9ab8-850f53339425</t>
  </si>
  <si>
    <t>43a905bc-23ef-4edb-b2dc-609388da0df4</t>
  </si>
  <si>
    <t>495eb677-5826-4b3d-9076-2dc2812fa80c</t>
  </si>
  <si>
    <t>Term 4 begins in all states/territories</t>
  </si>
  <si>
    <t>d44cb901-a615-42e1-958c-26897a2aac40</t>
  </si>
  <si>
    <t>Term 4 begins in all states/territories (Achievement Pathways Improvements (2026))</t>
  </si>
  <si>
    <t>King's Birthday Public Holiday</t>
  </si>
  <si>
    <t>789f2071-b9ae-47b5-9f5d-efabe98f3f01</t>
  </si>
  <si>
    <t>07d9dd07-9620-411b-941f-43f5837d0b69</t>
  </si>
  <si>
    <t>a3afde5a-02c6-42b4-9daa-ec94e29338ef</t>
  </si>
  <si>
    <t>ba5b07d8-f135-4bec-a4fa-7b918d896f70</t>
  </si>
  <si>
    <t>b8852027-8d34-4ea9-9bd2-3bcd2bfae68d</t>
  </si>
  <si>
    <t>f4c1bff2-889a-420d-86d9-a6cbddda0d1e</t>
  </si>
  <si>
    <t>777bcfb4-9081-490d-a742-f53063d7ea56</t>
  </si>
  <si>
    <t>a7708108-9025-4c5a-8023-4707463d32c1</t>
  </si>
  <si>
    <t>Archery - SP/TP/G</t>
  </si>
  <si>
    <t>Applications Close: 18/09/2026
Course Number: 2230PR2601
Course Fee: $ 155
Pre requisites: N/A
Click here for the Training Program Outline
Click here to apply for this training course
This program will provide fundamental skills and knowledge for abseiling on single pitches.
Note: Times listed are indicative only and will be confirmed pre-course.</t>
  </si>
  <si>
    <t>673a35c3-e6b5-45f9-9caa-3f5650d64b1e</t>
  </si>
  <si>
    <t>dec015f7-63e9-47b9-9f42-a6f33c3c0ab6</t>
  </si>
  <si>
    <t>50911c19-c8e3-4071-b44e-eb43923f9600</t>
  </si>
  <si>
    <t>3f30f5a2-b6b6-4891-ace4-1c568916a9cb</t>
  </si>
  <si>
    <t>JOTA/JOTI</t>
  </si>
  <si>
    <t>c9187860-28c8-4a03-b721-48957d1b3fad</t>
  </si>
  <si>
    <t>JOTA/JOTI Activity Camp - Murrenbong</t>
  </si>
  <si>
    <t>cb393fc0-de49-4366-89c5-c772a51c1f54</t>
  </si>
  <si>
    <t>JOTA/JOTI Activity Camp - BP Park</t>
  </si>
  <si>
    <t>f44812ea-cc25-48e4-a6fa-f797b8e85668</t>
  </si>
  <si>
    <t>74e29df7-8541-4f48-8194-f94e49d91a84</t>
  </si>
  <si>
    <t>5461766b-1a8b-47f7-822a-86da4d166e32</t>
  </si>
  <si>
    <t>e3aa8b77-1109-4319-a4e7-350a35e45de8</t>
  </si>
  <si>
    <t>c74adb31-3ec7-45fc-9a4e-9ed1e90bbea5</t>
  </si>
  <si>
    <t>79ec3162-7588-4f0f-a0b6-4310db2cd695</t>
  </si>
  <si>
    <t>Scouting Adventure (Rockhampton)</t>
  </si>
  <si>
    <t>Applications Close: 02/10/2026
Course Number: 1102613
Course Fee: $ 170.00
Pre requisites: Scouting Essentials and completion of Scouting Adventure On Demand learning
Click here for the Training Program Outline
Click here to apply for this training course
This program will provide leaders of youth the skills and knowledge needed to support the delivery of the youth program to achieve Outdoor Adventure Skills Core Stage 3. 
Note: Times listed are indicative only, refer to final course documentation of your course for confirmed course times.</t>
  </si>
  <si>
    <t>2ea63cab-5889-4170-b0e9-b615605be537</t>
  </si>
  <si>
    <t>Vertical - Abseiling Natural Surfaces - TP (FNR)</t>
  </si>
  <si>
    <t>Applications Close: 02/10/2026
Course Number: 2101TP2601
Course Fee: $ 155.00
Pre requisites: Abseiling Natural Safe Participant (SP) appointment
Click here for the Training Program Outline
Click here to apply for this training course
This program will provide skills and knowledge to establish ropes for single pitch abseil, and abseil single pitch on natural surfaces.
Note: Times listed are indicative only and will be confirmed pre-course.</t>
  </si>
  <si>
    <t>8cfe33e4-af8f-490a-941b-6abb8c7be863</t>
  </si>
  <si>
    <t>3ad92525-6a22-4cfe-985f-acac4103c5e2</t>
  </si>
  <si>
    <t>Guiding Adventure Course</t>
  </si>
  <si>
    <t>Applications Close: 02/10/2026
Course Number: 46002601
Course Fee: $ 185
Pre requisites: Core Skills Assistant Guide (AG) Program - Participants who successfully complete this program must also complete 
other pursuit specific pathway components, and be aged 18 or above, before appointment as a Guide in the relevant pursuit. 
Click here for the Training Program Outline
Click here to apply for this training course
This program will provide the core skills required for a Guide appointment in any pursuit.  
Note: Times listed are indicative only and will be confirmed pre-course.</t>
  </si>
  <si>
    <t>4baaf87f-3116-470c-9b5c-b1485e1ca150</t>
  </si>
  <si>
    <t>Scouting Leadership (FNQ)</t>
  </si>
  <si>
    <t>Applications Close: 02/10/2026
Course Number: 1302609
Course Fee: $ 170.00
Pre requisites: 6 months since completion of Scouting Adventure or Scouting Management
Click here for the Training Program Outline
Click here to apply for this training course
This program will build on skills and knowledge gained through the delivery of youth program and deepen understanding of Scouting fundamentals.
Note: Times listed are indicative only, refer to final course documentation for your course for confirmed course times.</t>
  </si>
  <si>
    <t>cbfa73c6-0ae5-4cb6-b5c1-043ca40770dc</t>
  </si>
  <si>
    <t>National News article about new program resources site</t>
  </si>
  <si>
    <t>1ef099d3-554d-434d-9d01-75746766992b</t>
  </si>
  <si>
    <t>National News article about new program resources site (Achievement Pathways Improvements (2026))</t>
  </si>
  <si>
    <t>Applications Close: 09/10/2026
Course Number: 2500PR2602
Course Fee: $ 155.00
Pre requisites: N/A
Click here for the Training Program Outline
Click here to apply for this training course
This program will provide skills and knowledge to snorkel and prepare, lead and supervise a snorkelling session.
Note: Times listed are indicative only and will be confirmed pre-course.</t>
  </si>
  <si>
    <t>47cb3a7f-bb6c-4d07-a714-bd1a2f9d73c1</t>
  </si>
  <si>
    <t>b67fa4db-aa12-4252-a6a2-7d139250cb57</t>
  </si>
  <si>
    <t>3baf3559-ed99-4f70-8cbb-b2572df91bec</t>
  </si>
  <si>
    <t>2e459285-59b7-4ae2-ba8d-8c4c5f66f25c</t>
  </si>
  <si>
    <t>f13b197a-2ddf-4331-ba88-fd976d3b5436</t>
  </si>
  <si>
    <t>Remembrance Day</t>
  </si>
  <si>
    <t>78564067-0644-4906-9120-fa83351135d8</t>
  </si>
  <si>
    <t>Scouting Leadership (Bundaberg)</t>
  </si>
  <si>
    <t>Applications Close: 23/10/2026
Course Number: 1302612
Course Fee: $ 170.00
Pre requisites: 6 months since completion of Scouting Adventure or Scouting Management
Click here for the Training Program Outline
Click here to apply for this training course
This program will build on skills and knowledge gained through the delivery of youth program and deepen understanding of Scouting fundamentals.
Note: Times listed are indicative only, refer to final course documentation for your course for confirmed course times.</t>
  </si>
  <si>
    <t>34cf3ec6-ff5d-4539-9743-ab7ca3a94b0f</t>
  </si>
  <si>
    <t>cadb7a8e-4efb-4998-b583-3883e1052342</t>
  </si>
  <si>
    <t>Applications Close: 23/10/2026
Course Number: 1102614
Course Fee: $ 170.00
Pre requisites: Scouting Essentials and completion of Scouting Adventure On Demand learning
Click here for the Training Program Outline
Click here to apply for this training course
This program will provide leaders of youth the skills and knowledge needed to support the delivery of the youth program to achieve Outdoor Adventure Skills Core Stage 3. 
Note: Times listed are indicative only, refer to final course documentation of your course for confirmed course times.</t>
  </si>
  <si>
    <t>088afc12-a888-4941-9fa5-065b0d9cea81</t>
  </si>
  <si>
    <t>Applications Close: 23/10/2026
Course Number: 1302611
Course Fee: $ 170.00
Pre requisites: 6 months since completion of Scouting Adventure or Scouting Management
Click here for the Training Program Outline
Click here to apply for this training course
This program will build on skills and knowledge gained through the delivery of youth program and deepen understanding of Scouting fundamentals.
Note: Times listed are indicative only, refer to final course documentation for your course for confirmed course times.</t>
  </si>
  <si>
    <t>4566b4bf-85e0-490b-850d-e64a01429c45</t>
  </si>
  <si>
    <t>3e171c06-bd16-46a3-ac1a-330e0270338d</t>
  </si>
  <si>
    <t>e444d517-e5cf-4d63-8312-833603e6c7db</t>
  </si>
  <si>
    <t>82c8b545-16c0-4293-a421-3c99fb86d63e</t>
  </si>
  <si>
    <t>4ca686ce-b2fa-4614-ba14-880efd102616</t>
  </si>
  <si>
    <t>fc4603bd-ddbe-482f-bfe9-deb7de6b3a1e</t>
  </si>
  <si>
    <t>7c49863c-dc1d-4ae5-9a50-6bb79abd94f6</t>
  </si>
  <si>
    <t>ec7e4b92-80d5-4615-8156-7925adab9423</t>
  </si>
  <si>
    <t>Applications Close: 30/10/2026
Course Number: 1102615
Course Fee: $ 170.00
Pre requisites: Scouting Essentials and completion of Scouting Adventure On Demand learning
Click here for the Training Program Outline
Click here to apply for this training course
This program will provide leaders of youth the skills and knowledge needed to support the delivery of the youth program to achieve Outdoor Adventure Skills Core Stage 3. 
Note: Times listed are indicative only, refer to final course documentation of your course for confirmed course times.</t>
  </si>
  <si>
    <t>fece37d1-766e-47ea-b836-ba3978ce17b8</t>
  </si>
  <si>
    <t>a68ffc28-1400-48cd-a8dd-e34194124210</t>
  </si>
  <si>
    <t>Applications Close: 30/10/2026
Course Number: 1102616
Course Fee: $ 170.00
Pre requisites: Scouting Essentials and completion of Scouting Adventure On Demand learning
Click here for the Training Program Outline
Click here to apply for this training course
This program will provide leaders of youth the skills and knowledge needed to support the delivery of the youth program to achieve Outdoor Adventure Skills Core Stage 3. 
Note: Times listed are indicative only, refer to final course documentation of your course for confirmed course times.</t>
  </si>
  <si>
    <t>5cdd0ef6-3b21-4244-b4fb-3052f3bde8c2</t>
  </si>
  <si>
    <t>6c0cd4c6-6793-49fd-aef1-c4cf0582cc6f</t>
  </si>
  <si>
    <t>Vertical - Abseiling Vertical Rescue (FNQ)</t>
  </si>
  <si>
    <t>Applications Close: 30/10/2026
Course Number: 2100AG2601
Course Fee: $ 155.00
Pre requisites: Abseiling Trained Participant (TP) appointment
Click here to apply for this training courseClick here to apply for this training course
This program will provide skills and knowledge to establish ropes for single pitch abseil, and abseil single pitch on natural surfaces.
Note: Times listed are indicative only and will be confirmed pre-course.</t>
  </si>
  <si>
    <t>c86f3664-bee5-4a24-a1ca-7c7b1b3d6461</t>
  </si>
  <si>
    <t>Branch Joey Scout Council End of Year</t>
  </si>
  <si>
    <t>705711b2-0e25-42de-b8e7-6e098068132d</t>
  </si>
  <si>
    <t>3d855aed-4523-4f69-a97d-d183414980c7</t>
  </si>
  <si>
    <t>27ace79e-e8f6-4b12-818d-66ce9d6ff8bb</t>
  </si>
  <si>
    <t>c1cfee0e-8761-428a-90c4-01ea24f53930</t>
  </si>
  <si>
    <t>e2d59634-34c3-4d33-bbbe-d4a77b6a3c41</t>
  </si>
  <si>
    <t>d5e8c7b0-3067-442e-8f90-1c721bf27fcd</t>
  </si>
  <si>
    <t>3b48af1c-cf65-44fe-8887-d8d95ded98c2</t>
  </si>
  <si>
    <t>548c891b-8716-4e6c-a74d-27058b57f9d9</t>
  </si>
  <si>
    <t>724b60dd-fa99-45cf-a430-d74557514cf2</t>
  </si>
  <si>
    <t>65c32de7-7ccf-4fe0-bf89-de809fafd891</t>
  </si>
  <si>
    <t>b037a025-828b-45ae-a575-1042d32e347c</t>
  </si>
  <si>
    <t>Scouts | Terrain ready</t>
  </si>
  <si>
    <t>• Expectation that all Units have adopted Achievement Pathways improvements • Scouts | Terrain updated to reflect Achievement Pathways improvements (pending outcome of NST analysis)</t>
  </si>
  <si>
    <t>68589a93-0319-4e17-ab59-db7f47cbdef6</t>
  </si>
  <si>
    <t>Scouts | Terrain ready (Achievement Pathways Improvements (2026))</t>
  </si>
  <si>
    <t>27th Australian Jamboree (AJ2028)</t>
  </si>
  <si>
    <t>a2cff80e-b5b5-4f5d-9194-1587b6c8c7b7</t>
  </si>
  <si>
    <t>Double Boat Dive (Brisbane)</t>
  </si>
  <si>
    <t>Double Boat Dive from just $205.00. Join us for an unforgettable adventure beneath the waves at two of many amazing dive locations off Stradbroke Island! Whether you're a seasoned diver or just starting out, this is an experience you won't want to miss.. Further infomation in the registration link *Actual location may change due to conditions prevailing at the time</t>
  </si>
  <si>
    <t>f79486d5-cb9f-4f5a-a248-b14653650cf1</t>
  </si>
  <si>
    <t>DO NOT EDIT THIS SHEET - AUTOMATICALLY UPDATES FROM A SHAREPOINT LIST</t>
  </si>
  <si>
    <t>Strategic AreaId</t>
  </si>
  <si>
    <t>Impact</t>
  </si>
  <si>
    <t>OwnerId</t>
  </si>
  <si>
    <t>OwnerStringId</t>
  </si>
  <si>
    <t>Strategic Area Text</t>
  </si>
  <si>
    <t>Estimated Completion</t>
  </si>
  <si>
    <t>0x01000AD76AF48621C74AB0F98B9FEAC9B16000F78E7723D3683240A20E7424F5DBF6D1</t>
  </si>
  <si>
    <t>Establish a plan to have at least one Branch Commissioner visit each Region within the next 12 months to collect structed face to face feedback (budget dependant)</t>
  </si>
  <si>
    <t>test</t>
  </si>
  <si>
    <t>Seek to understand what makes a good program and what our Leaders need in their current environment</t>
  </si>
  <si>
    <t>378</t>
  </si>
  <si>
    <t>High quality programs centred around young people in safe environments which are Adventurous, Fun, Challenging and Inclusive.</t>
  </si>
  <si>
    <t>9b91c442-6dda-4ae2-a184-82e8f3c78113</t>
  </si>
  <si>
    <t>Promote and advocate for the continued use of the Smiley Face app and review of the results</t>
  </si>
  <si>
    <t>f6682a4d-3051-46bd-bc3a-1d1575b5d6de</t>
  </si>
  <si>
    <t>Investigate how to best communicate to and support the District and Region teams</t>
  </si>
  <si>
    <t>Seek to understand
what makes a good program and what our Leaders need in their current
environment</t>
  </si>
  <si>
    <t>a8da8937-ccc5-4009-99b8-b9d8b1a98174</t>
  </si>
  <si>
    <t>Work with Brand and Comms to bring together into a central repository links to program materials, partnerships available, directory of local non-Scouting events, international opportunities, adventurous activity opportunities</t>
  </si>
  <si>
    <t xml:space="preserve">
Work with Brand and Comms to bring together into a central repository links to program materials, partnerships available, directory of local non-Scouting events, international opportunities, adventurous activity opportunities, activity centre offerings a</t>
  </si>
  <si>
    <t>277083f7-495b-43eb-8d27-e87ec0bfe60b</t>
  </si>
  <si>
    <t>Analysis of the feedback gathered from the visits, and any reviews already conducted to determine the areas for improvement. Develop action items in response.</t>
  </si>
  <si>
    <t>Increase use of Scouts | Terrain.</t>
  </si>
  <si>
    <t>df5f9d8e-3b9d-42e5-ac87-782b4479f732</t>
  </si>
  <si>
    <t>Reviewing and revising the Branch Youth Council Charter. Inspiring the team to champion consistent language and methods like the Plan&gt;Do&gt;Review&gt; cycle, SPICES, and Challenge Areas</t>
  </si>
  <si>
    <t xml:space="preserve">Reinvigorating the Branch Youth Council with a focus on practical application of their outcomes and become advocates to other Youth Members. </t>
  </si>
  <si>
    <t>0faa8b7d-358e-4840-9516-30bf971c6787</t>
  </si>
  <si>
    <t>Establish processes with the Major Events Team to provide advice and reviews of event programs</t>
  </si>
  <si>
    <t>Support the Major Events team and event teams with the development of their event programs including alignment to the achievement pathways</t>
  </si>
  <si>
    <t>526c01f1-c6a0-490c-b7c7-c850ddb5d910</t>
  </si>
  <si>
    <t xml:space="preserve">Using an ongoing change management approach across the team using the ADKAR model; Reviewing and determining what the team is collectively working on to develop a team plan and to harmonise their responsibilities. </t>
  </si>
  <si>
    <t>Reviewing how the team functions, what their roles are, how this directly impacts the delivery of the program.</t>
  </si>
  <si>
    <t>1.0</t>
  </si>
  <si>
    <t>3fc73070-1841-4d68-8db8-abe31f4e39dd</t>
  </si>
  <si>
    <t>Work with the Environment Education team to promote and advocate the opportunities for Youth Members</t>
  </si>
  <si>
    <t>Understand and strengthen the connection with the Environment Education team</t>
  </si>
  <si>
    <t>312c73be-5d82-4d5a-bf51-2dd9130734b0</t>
  </si>
  <si>
    <t>Modernising the Event Advice and Approval form (C5) proposal</t>
  </si>
  <si>
    <t>Modernise the Event Advice and Approval form (C5) process by migrating it to a central online platform by taking the complex procedure and converting it to a simple guided system accessible to all</t>
  </si>
  <si>
    <t>507f37b9-891c-4815-bb8b-3c22b6728ad8</t>
  </si>
  <si>
    <t>b27001f4-1656-435a-a6f9-2ecc7b4caddc</t>
  </si>
  <si>
    <t>Program Sparks would provide short, practical and easy to consume pieces of information that could be distributed through existing communication channels including newsletters, social media, targeted emails and other member communications.</t>
  </si>
  <si>
    <t>Better informed volunteers. More consistent program delivery. Greater awareness of existing resources. Improved volunteer confidence. Increased visibility of the expertise available across Branch teams.</t>
  </si>
  <si>
    <t xml:space="preserve">Think about using it as an add on to existing email signatures.  The goal would be to surface useful information that already exists and make it more accessible to volunteers. It isn't an article. It is a visual, catchy representation of information tip. </t>
  </si>
  <si>
    <t>3af5672e-471c-466e-b87d-1ba6c613f949</t>
  </si>
  <si>
    <t>Term 3 - YPT Program Conference</t>
  </si>
  <si>
    <t>Term 1 - YPT Program Conference "Supporting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</si>
</sst>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
    <numFmt numFmtId="165" formatCode="mmm\ dd\,\ yyyy"/>
    <numFmt numFmtId="166" formatCode="mm/dd/yyyy"/>
    <numFmt numFmtId="167" formatCode="dd\-mmm\-yy"/>
    <numFmt numFmtId="168" formatCode="mmm"/>
    <numFmt numFmtId="169" formatCode="ddd\ d\ mmm\ yyyy"/>
  </numFmts>
  <fonts count="46" x14ac:knownFonts="1">
    <font>
      <sz val="11"/>
      <color theme="1"/>
      <name val="Calibri"/>
      <family val="2"/>
      <scheme val="minor"/>
    </font>
    <font>
      <sz val="8"/>
      <name val="Calibri"/>
      <family val="2"/>
      <scheme val="minor"/>
    </font>
    <font>
      <sz val="11"/>
      <color theme="8" tint="-0.499984740745262"/>
      <name val="Calibri"/>
      <family val="2"/>
      <scheme val="minor"/>
    </font>
    <font>
      <sz val="11"/>
      <color theme="0"/>
      <name val="Aptos"/>
      <family val="2"/>
    </font>
    <font>
      <b/>
      <sz val="11"/>
      <color theme="0"/>
      <name val="Aptos"/>
      <family val="2"/>
    </font>
    <font>
      <b/>
      <sz val="12"/>
      <color theme="0"/>
      <name val="Aptos"/>
      <family val="2"/>
    </font>
    <font>
      <sz val="12"/>
      <color theme="0"/>
      <name val="Aptos"/>
      <family val="2"/>
    </font>
    <font>
      <sz val="11"/>
      <color theme="1"/>
      <name val="Aptos"/>
      <family val="2"/>
    </font>
    <font>
      <sz val="10"/>
      <color theme="1"/>
      <name val="Aptos"/>
      <family val="2"/>
    </font>
    <font>
      <b/>
      <sz val="10"/>
      <color theme="0"/>
      <name val="Aptos"/>
      <family val="2"/>
    </font>
    <font>
      <b/>
      <sz val="10"/>
      <color rgb="FF681D34"/>
      <name val="Aptos"/>
      <family val="2"/>
    </font>
    <font>
      <i/>
      <sz val="10"/>
      <color theme="1"/>
      <name val="Aptos"/>
      <family val="2"/>
    </font>
    <font>
      <sz val="10"/>
      <color rgb="FF026186"/>
      <name val="Aptos"/>
      <family val="2"/>
    </font>
    <font>
      <sz val="10"/>
      <color theme="0"/>
      <name val="Aptos"/>
      <family val="2"/>
    </font>
    <font>
      <b/>
      <sz val="10"/>
      <color rgb="FF026186"/>
      <name val="Aptos"/>
      <family val="2"/>
    </font>
    <font>
      <sz val="10"/>
      <color rgb="FF681D34"/>
      <name val="Aptos"/>
      <family val="2"/>
    </font>
    <font>
      <i/>
      <sz val="8"/>
      <color theme="1"/>
      <name val="Aptos"/>
      <family val="2"/>
    </font>
    <font>
      <b/>
      <sz val="18"/>
      <color rgb="FFFF0000"/>
      <name val="Calibri"/>
      <family val="2"/>
      <scheme val="minor"/>
    </font>
    <font>
      <b/>
      <sz val="18"/>
      <color rgb="FF0070C0"/>
      <name val="Calibri"/>
      <family val="2"/>
      <scheme val="minor"/>
    </font>
    <font>
      <b/>
      <sz val="18"/>
      <color rgb="FF681D34"/>
      <name val="Aptos"/>
      <family val="2"/>
    </font>
    <font>
      <i/>
      <sz val="11"/>
      <color theme="1"/>
      <name val="Aptos"/>
      <family val="2"/>
    </font>
    <font>
      <sz val="11"/>
      <name val="Calibri"/>
      <family val="2"/>
      <scheme val="minor"/>
    </font>
    <font>
      <b/>
      <sz val="11"/>
      <color rgb="FF8D1F2C"/>
      <name val="Aptos"/>
      <family val="2"/>
    </font>
    <font>
      <b/>
      <sz val="10"/>
      <color rgb="FF0070C0"/>
      <name val="Aptos"/>
      <family val="2"/>
    </font>
    <font>
      <b/>
      <sz val="14"/>
      <color rgb="FF681D34"/>
      <name val="Aptos"/>
      <family val="2"/>
    </font>
    <font>
      <b/>
      <sz val="14"/>
      <color theme="1"/>
      <name val="Aptos"/>
      <family val="2"/>
    </font>
    <font>
      <sz val="9"/>
      <color theme="1"/>
      <name val="Aptos"/>
      <family val="2"/>
    </font>
    <font>
      <sz val="8"/>
      <color theme="1"/>
      <name val="Aptos"/>
      <family val="2"/>
    </font>
    <font>
      <b/>
      <sz val="8"/>
      <color rgb="FF241858"/>
      <name val="Aptos"/>
      <family val="2"/>
    </font>
    <font>
      <b/>
      <sz val="9"/>
      <color theme="0"/>
      <name val="Aptos"/>
      <family val="2"/>
    </font>
    <font>
      <b/>
      <sz val="9"/>
      <color theme="1"/>
      <name val="Aptos"/>
      <family val="2"/>
    </font>
    <font>
      <sz val="9"/>
      <color theme="0"/>
      <name val="Aptos"/>
      <family val="2"/>
    </font>
    <font>
      <sz val="11"/>
      <color rgb="FFFF0000"/>
      <name val="Calibri"/>
      <family val="2"/>
      <scheme val="minor"/>
    </font>
    <font>
      <sz val="11"/>
      <color rgb="FF242424"/>
      <name val="Calibri"/>
      <family val="2"/>
      <scheme val="minor"/>
    </font>
    <font>
      <sz val="11"/>
      <color rgb="FF242424"/>
      <name val="Calibri"/>
      <family val="2"/>
    </font>
    <font>
      <sz val="12"/>
      <color rgb="FF000000"/>
      <name val="Aptos"/>
    </font>
    <font>
      <b/>
      <sz val="18"/>
      <color rgb="FFFFFFFF"/>
      <name val="Calibri"/>
    </font>
    <font>
      <i/>
      <sz val="10"/>
      <color rgb="FF404040"/>
      <name val="Calibri"/>
    </font>
    <font>
      <b/>
      <sz val="11"/>
      <color rgb="FFFFFFFF"/>
      <name val="Calibri"/>
    </font>
    <font>
      <b/>
      <sz val="9"/>
      <color rgb="FFFFFFFF"/>
      <name val="Calibri"/>
    </font>
    <font>
      <sz val="11"/>
      <color rgb="FF008000"/>
      <name val="Calibri"/>
    </font>
    <font>
      <b/>
      <sz val="8"/>
      <color rgb="FF404040"/>
      <name val="Calibri"/>
    </font>
    <font>
      <b/>
      <sz val="16"/>
      <color rgb="FFFFFFFF"/>
      <name val="Calibri"/>
    </font>
    <font>
      <sz val="11"/>
      <color rgb="FF404040"/>
      <name val="Calibri"/>
    </font>
    <font>
      <sz val="11"/>
      <color rgb="FF000000"/>
      <name val="Calibri"/>
      <family val="2"/>
    </font>
    <font>
      <sz val="11"/>
      <color theme="0"/>
      <name val="Calibri"/>
      <family val="2"/>
    </font>
  </fonts>
  <fills count="22">
    <fill>
      <patternFill patternType="none"/>
    </fill>
    <fill>
      <patternFill patternType="gray125"/>
    </fill>
    <fill>
      <patternFill patternType="solid">
        <fgColor theme="0" tint="-4.9989318521683403E-2"/>
        <bgColor indexed="64"/>
      </patternFill>
    </fill>
    <fill>
      <patternFill patternType="solid">
        <fgColor rgb="FF32DAAA"/>
        <bgColor indexed="64"/>
      </patternFill>
    </fill>
    <fill>
      <patternFill patternType="solid">
        <fgColor rgb="FF8D1F2C"/>
        <bgColor indexed="64"/>
      </patternFill>
    </fill>
    <fill>
      <patternFill patternType="solid">
        <fgColor theme="0"/>
        <bgColor indexed="64"/>
      </patternFill>
    </fill>
    <fill>
      <gradientFill degree="270">
        <stop position="0">
          <color rgb="FF8D1F2C"/>
        </stop>
        <stop position="1">
          <color rgb="FF681D34"/>
        </stop>
      </gradientFill>
    </fill>
    <fill>
      <patternFill patternType="solid">
        <fgColor theme="0"/>
        <bgColor auto="1"/>
      </patternFill>
    </fill>
    <fill>
      <patternFill patternType="solid">
        <fgColor rgb="FF681D34"/>
        <bgColor indexed="64"/>
      </patternFill>
    </fill>
    <fill>
      <patternFill patternType="solid">
        <fgColor rgb="FF00B050"/>
        <bgColor indexed="64"/>
      </patternFill>
    </fill>
    <fill>
      <patternFill patternType="solid">
        <fgColor rgb="FF0070C0"/>
        <bgColor indexed="64"/>
      </patternFill>
    </fill>
    <fill>
      <patternFill patternType="solid">
        <fgColor rgb="FFFFC000"/>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17365D"/>
      </patternFill>
    </fill>
    <fill>
      <patternFill patternType="solid">
        <fgColor rgb="FF1F4E78"/>
      </patternFill>
    </fill>
    <fill>
      <patternFill patternType="solid">
        <fgColor rgb="FFC6E0B4"/>
      </patternFill>
    </fill>
    <fill>
      <patternFill patternType="solid">
        <fgColor rgb="FFFFE699"/>
      </patternFill>
    </fill>
    <fill>
      <patternFill patternType="solid">
        <fgColor rgb="FFBDD7EE"/>
      </patternFill>
    </fill>
    <fill>
      <patternFill patternType="solid">
        <fgColor rgb="FFF4B183"/>
      </patternFill>
    </fill>
    <fill>
      <patternFill patternType="solid">
        <fgColor rgb="FFD9B3E6"/>
      </patternFill>
    </fill>
    <fill>
      <patternFill patternType="solid">
        <fgColor rgb="FF9966FF"/>
        <bgColor indexed="64"/>
      </patternFill>
    </fill>
  </fills>
  <borders count="15">
    <border>
      <left/>
      <right/>
      <top/>
      <bottom/>
      <diagonal/>
    </border>
    <border>
      <left/>
      <right style="thin">
        <color theme="0" tint="-0.14999847407452621"/>
      </right>
      <top/>
      <bottom/>
      <diagonal/>
    </border>
    <border>
      <left/>
      <right/>
      <top/>
      <bottom style="thick">
        <color theme="0"/>
      </bottom>
      <diagonal/>
    </border>
    <border>
      <left style="thin">
        <color theme="0" tint="-0.14999847407452621"/>
      </left>
      <right style="thin">
        <color theme="0" tint="-0.14999847407452621"/>
      </right>
      <top/>
      <bottom/>
      <diagonal/>
    </border>
    <border>
      <left style="thin">
        <color rgb="FFA43C51"/>
      </left>
      <right/>
      <top style="thin">
        <color rgb="FFA43C51"/>
      </top>
      <bottom style="thin">
        <color rgb="FFA43C51"/>
      </bottom>
      <diagonal/>
    </border>
    <border>
      <left/>
      <right/>
      <top style="thin">
        <color rgb="FFA43C51"/>
      </top>
      <bottom style="thin">
        <color rgb="FFA43C51"/>
      </bottom>
      <diagonal/>
    </border>
    <border>
      <left/>
      <right style="thin">
        <color rgb="FFA43C51"/>
      </right>
      <top style="thin">
        <color rgb="FFA43C51"/>
      </top>
      <bottom style="thin">
        <color rgb="FFA43C51"/>
      </bottom>
      <diagonal/>
    </border>
    <border>
      <left style="thin">
        <color rgb="FF8D1F2C"/>
      </left>
      <right/>
      <top/>
      <bottom/>
      <diagonal/>
    </border>
    <border>
      <left style="thin">
        <color theme="0" tint="-0.14999847407452621"/>
      </left>
      <right style="thin">
        <color theme="0" tint="-0.14999847407452621"/>
      </right>
      <top/>
      <bottom style="thin">
        <color theme="0" tint="-0.149967955565050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0" tint="-0.14996795556505021"/>
      </left>
      <right/>
      <top style="thin">
        <color theme="0" tint="-0.14996795556505021"/>
      </top>
      <bottom/>
      <diagonal/>
    </border>
    <border>
      <left/>
      <right/>
      <top style="thin">
        <color theme="0" tint="-0.14996795556505021"/>
      </top>
      <bottom/>
      <diagonal/>
    </border>
    <border>
      <left/>
      <right style="thin">
        <color theme="0" tint="-0.14996795556505021"/>
      </right>
      <top style="thin">
        <color theme="0" tint="-0.14996795556505021"/>
      </top>
      <bottom/>
      <diagonal/>
    </border>
    <border>
      <left/>
      <right/>
      <top/>
      <bottom style="thin">
        <color rgb="FFD9E1F2"/>
      </bottom>
      <diagonal/>
    </border>
  </borders>
  <cellStyleXfs count="2">
    <xf numFmtId="0" fontId="0" fillId="0" borderId="0"/>
    <xf numFmtId="0" fontId="2" fillId="0" borderId="0"/>
  </cellStyleXfs>
  <cellXfs count="128">
    <xf numFmtId="0" fontId="0" fillId="0" borderId="0" xfId="0"/>
    <xf numFmtId="0" fontId="2" fillId="0" borderId="0" xfId="1"/>
    <xf numFmtId="0" fontId="7" fillId="0" borderId="0" xfId="0" applyFont="1"/>
    <xf numFmtId="0" fontId="7" fillId="0" borderId="0" xfId="0" applyFont="1" applyAlignment="1">
      <alignment horizontal="center"/>
    </xf>
    <xf numFmtId="166" fontId="7" fillId="0" borderId="0" xfId="0" applyNumberFormat="1" applyFont="1"/>
    <xf numFmtId="0" fontId="7" fillId="0" borderId="0" xfId="0" applyFont="1" applyAlignment="1">
      <alignment horizontal="center" vertical="center"/>
    </xf>
    <xf numFmtId="0" fontId="8" fillId="0" borderId="0" xfId="0" applyFont="1" applyAlignment="1">
      <alignment vertical="center"/>
    </xf>
    <xf numFmtId="0" fontId="8" fillId="0" borderId="3" xfId="0" applyFont="1" applyBorder="1" applyAlignment="1">
      <alignment horizontal="center" vertical="center"/>
    </xf>
    <xf numFmtId="0" fontId="8" fillId="0" borderId="3" xfId="0" applyFont="1" applyBorder="1" applyAlignment="1">
      <alignment horizontal="left" vertical="center" indent="1"/>
    </xf>
    <xf numFmtId="167" fontId="8" fillId="0" borderId="1" xfId="0" applyNumberFormat="1" applyFont="1" applyBorder="1" applyAlignment="1">
      <alignment horizontal="center" vertical="center"/>
    </xf>
    <xf numFmtId="0" fontId="8" fillId="0" borderId="1" xfId="0" applyFont="1" applyBorder="1" applyAlignment="1">
      <alignment horizontal="center" vertical="center"/>
    </xf>
    <xf numFmtId="0" fontId="8" fillId="0" borderId="0" xfId="0" applyFont="1" applyAlignment="1">
      <alignment horizontal="center" vertical="center"/>
    </xf>
    <xf numFmtId="0" fontId="11" fillId="0" borderId="0" xfId="0" applyFont="1" applyAlignment="1">
      <alignment horizontal="left" vertical="center" indent="1"/>
    </xf>
    <xf numFmtId="166" fontId="12" fillId="0" borderId="0" xfId="0" quotePrefix="1" applyNumberFormat="1" applyFont="1" applyAlignment="1">
      <alignment horizontal="center" vertical="center"/>
    </xf>
    <xf numFmtId="0" fontId="13" fillId="0" borderId="0" xfId="0" applyFont="1" applyAlignment="1">
      <alignment vertical="center"/>
    </xf>
    <xf numFmtId="167" fontId="12" fillId="0" borderId="0" xfId="0" applyNumberFormat="1" applyFont="1" applyAlignment="1">
      <alignment vertical="center"/>
    </xf>
    <xf numFmtId="167" fontId="14" fillId="0" borderId="0" xfId="0" applyNumberFormat="1" applyFont="1" applyAlignment="1">
      <alignment vertical="center"/>
    </xf>
    <xf numFmtId="0" fontId="12" fillId="0" borderId="0" xfId="0" applyFont="1" applyAlignment="1">
      <alignment horizontal="left" vertical="center"/>
    </xf>
    <xf numFmtId="166" fontId="12" fillId="0" borderId="0" xfId="0" applyNumberFormat="1" applyFont="1" applyAlignment="1">
      <alignment vertical="center"/>
    </xf>
    <xf numFmtId="165" fontId="12" fillId="0" borderId="0" xfId="0" applyNumberFormat="1" applyFont="1" applyAlignment="1">
      <alignment vertical="center"/>
    </xf>
    <xf numFmtId="0" fontId="8" fillId="5" borderId="2" xfId="0" applyFont="1" applyFill="1" applyBorder="1" applyAlignment="1">
      <alignment horizontal="center" vertical="center"/>
    </xf>
    <xf numFmtId="14" fontId="0" fillId="0" borderId="0" xfId="0" applyNumberFormat="1"/>
    <xf numFmtId="0" fontId="7" fillId="0" borderId="0" xfId="0" applyFont="1" applyAlignment="1">
      <alignment horizontal="left" vertical="center" indent="1"/>
    </xf>
    <xf numFmtId="0" fontId="13" fillId="0" borderId="0" xfId="0" applyFont="1" applyAlignment="1">
      <alignment horizontal="center" vertical="center"/>
    </xf>
    <xf numFmtId="0" fontId="3" fillId="6" borderId="0" xfId="0" applyFont="1" applyFill="1" applyAlignment="1">
      <alignment horizontal="left" vertical="center"/>
    </xf>
    <xf numFmtId="166" fontId="3" fillId="6" borderId="0" xfId="0" applyNumberFormat="1" applyFont="1" applyFill="1" applyAlignment="1">
      <alignment horizontal="left" vertical="center"/>
    </xf>
    <xf numFmtId="0" fontId="4" fillId="6" borderId="0" xfId="0" applyFont="1" applyFill="1" applyAlignment="1">
      <alignment horizontal="left" vertical="center"/>
    </xf>
    <xf numFmtId="0" fontId="5" fillId="6" borderId="0" xfId="0" applyFont="1" applyFill="1" applyAlignment="1">
      <alignment horizontal="left" vertical="center"/>
    </xf>
    <xf numFmtId="0" fontId="6" fillId="6" borderId="0" xfId="0" applyFont="1" applyFill="1" applyAlignment="1">
      <alignment horizontal="left" vertical="center"/>
    </xf>
    <xf numFmtId="0" fontId="5" fillId="6" borderId="0" xfId="0" applyFont="1" applyFill="1" applyAlignment="1">
      <alignment vertical="center"/>
    </xf>
    <xf numFmtId="166" fontId="16" fillId="0" borderId="0" xfId="0" applyNumberFormat="1" applyFont="1" applyAlignment="1">
      <alignment horizontal="center" vertical="center"/>
    </xf>
    <xf numFmtId="14" fontId="2" fillId="0" borderId="0" xfId="1" applyNumberFormat="1"/>
    <xf numFmtId="22" fontId="0" fillId="0" borderId="0" xfId="0" applyNumberFormat="1"/>
    <xf numFmtId="0" fontId="2" fillId="0" borderId="0" xfId="1" applyAlignment="1">
      <alignment horizontal="center"/>
    </xf>
    <xf numFmtId="0" fontId="10" fillId="0" borderId="0" xfId="0" applyFont="1" applyAlignment="1">
      <alignment horizontal="right" vertical="center"/>
    </xf>
    <xf numFmtId="0" fontId="10" fillId="0" borderId="0" xfId="0" applyFont="1" applyAlignment="1">
      <alignment vertical="center"/>
    </xf>
    <xf numFmtId="0" fontId="14" fillId="0" borderId="0" xfId="0" applyFont="1" applyAlignment="1">
      <alignment vertical="center"/>
    </xf>
    <xf numFmtId="0" fontId="3" fillId="6" borderId="0" xfId="0" applyFont="1" applyFill="1" applyAlignment="1">
      <alignment vertical="center"/>
    </xf>
    <xf numFmtId="0" fontId="17" fillId="0" borderId="0" xfId="0" applyFont="1"/>
    <xf numFmtId="0" fontId="18" fillId="0" borderId="0" xfId="0" applyFont="1"/>
    <xf numFmtId="0" fontId="7" fillId="5" borderId="0" xfId="0" applyFont="1" applyFill="1"/>
    <xf numFmtId="0" fontId="7" fillId="5" borderId="0" xfId="0" applyFont="1" applyFill="1" applyAlignment="1">
      <alignment wrapText="1"/>
    </xf>
    <xf numFmtId="0" fontId="19" fillId="5" borderId="0" xfId="0" applyFont="1" applyFill="1"/>
    <xf numFmtId="0" fontId="7" fillId="5" borderId="0" xfId="0" applyFont="1" applyFill="1" applyAlignment="1">
      <alignment horizontal="left" vertical="center" indent="1"/>
    </xf>
    <xf numFmtId="0" fontId="20" fillId="5" borderId="0" xfId="0" applyFont="1" applyFill="1" applyAlignment="1">
      <alignment horizontal="left" vertical="center" indent="3"/>
    </xf>
    <xf numFmtId="0" fontId="7" fillId="5" borderId="0" xfId="0" applyFont="1" applyFill="1" applyAlignment="1">
      <alignment vertical="top" wrapText="1"/>
    </xf>
    <xf numFmtId="0" fontId="21" fillId="0" borderId="0" xfId="0" applyFont="1"/>
    <xf numFmtId="0" fontId="7" fillId="5" borderId="0" xfId="0" applyFont="1" applyFill="1" applyAlignment="1">
      <alignment horizontal="left" indent="1"/>
    </xf>
    <xf numFmtId="0" fontId="7" fillId="5" borderId="0" xfId="0" applyFont="1" applyFill="1" applyAlignment="1">
      <alignment horizontal="left" wrapText="1" indent="1"/>
    </xf>
    <xf numFmtId="0" fontId="20" fillId="5" borderId="0" xfId="0" applyFont="1" applyFill="1" applyAlignment="1">
      <alignment horizontal="left" vertical="center" indent="4"/>
    </xf>
    <xf numFmtId="0" fontId="20" fillId="5" borderId="0" xfId="0" applyFont="1" applyFill="1" applyAlignment="1">
      <alignment horizontal="left" vertical="center" wrapText="1" indent="4"/>
    </xf>
    <xf numFmtId="0" fontId="7" fillId="5" borderId="0" xfId="0" quotePrefix="1" applyFont="1" applyFill="1" applyAlignment="1">
      <alignment horizontal="left" indent="1"/>
    </xf>
    <xf numFmtId="0" fontId="7" fillId="5" borderId="0" xfId="0" quotePrefix="1" applyFont="1" applyFill="1" applyAlignment="1">
      <alignment horizontal="left" wrapText="1" indent="1"/>
    </xf>
    <xf numFmtId="0" fontId="24" fillId="5" borderId="0" xfId="0" applyFont="1" applyFill="1"/>
    <xf numFmtId="164" fontId="27" fillId="0" borderId="0" xfId="0" applyNumberFormat="1" applyFont="1" applyAlignment="1">
      <alignment horizontal="center" vertical="center"/>
    </xf>
    <xf numFmtId="0" fontId="26" fillId="0" borderId="0" xfId="0" applyFont="1" applyAlignment="1">
      <alignment vertical="center"/>
    </xf>
    <xf numFmtId="0" fontId="29" fillId="4" borderId="3" xfId="0" applyFont="1" applyFill="1" applyBorder="1" applyAlignment="1">
      <alignment horizontal="center" vertical="center"/>
    </xf>
    <xf numFmtId="0" fontId="29" fillId="4" borderId="3" xfId="0" applyFont="1" applyFill="1" applyBorder="1" applyAlignment="1">
      <alignment horizontal="left" vertical="center" indent="1"/>
    </xf>
    <xf numFmtId="166" fontId="29" fillId="4" borderId="1" xfId="0" applyNumberFormat="1" applyFont="1" applyFill="1" applyBorder="1" applyAlignment="1">
      <alignment horizontal="center" vertical="center" wrapText="1"/>
    </xf>
    <xf numFmtId="0" fontId="30" fillId="3" borderId="1" xfId="0" applyFont="1" applyFill="1" applyBorder="1" applyAlignment="1">
      <alignment horizontal="center" vertical="center" wrapText="1"/>
    </xf>
    <xf numFmtId="0" fontId="30" fillId="3" borderId="0" xfId="0" applyFont="1" applyFill="1" applyAlignment="1">
      <alignment horizontal="center" vertical="center" wrapText="1"/>
    </xf>
    <xf numFmtId="168" fontId="29" fillId="4" borderId="0" xfId="0" applyNumberFormat="1" applyFont="1" applyFill="1" applyAlignment="1">
      <alignment horizontal="center" vertical="center"/>
    </xf>
    <xf numFmtId="0" fontId="27" fillId="0" borderId="3" xfId="0" applyFont="1" applyBorder="1" applyAlignment="1">
      <alignment horizontal="left" vertical="center" indent="1"/>
    </xf>
    <xf numFmtId="167" fontId="27" fillId="0" borderId="1" xfId="0" applyNumberFormat="1" applyFont="1" applyBorder="1" applyAlignment="1">
      <alignment horizontal="center" vertical="center"/>
    </xf>
    <xf numFmtId="0" fontId="8" fillId="0" borderId="1" xfId="0" applyFont="1" applyBorder="1" applyAlignment="1">
      <alignment horizontal="left" vertical="center" indent="1"/>
    </xf>
    <xf numFmtId="0" fontId="27" fillId="0" borderId="1" xfId="0" applyFont="1" applyBorder="1" applyAlignment="1">
      <alignment horizontal="left" vertical="center" indent="1"/>
    </xf>
    <xf numFmtId="0" fontId="29" fillId="4" borderId="1" xfId="0" applyFont="1" applyFill="1" applyBorder="1" applyAlignment="1">
      <alignment horizontal="center" vertical="center"/>
    </xf>
    <xf numFmtId="0" fontId="8" fillId="0" borderId="1" xfId="0" applyFont="1" applyBorder="1" applyAlignment="1">
      <alignment horizontal="left" vertical="center" wrapText="1" indent="1"/>
    </xf>
    <xf numFmtId="0" fontId="8" fillId="0" borderId="8" xfId="0" applyFont="1" applyBorder="1" applyAlignment="1">
      <alignment horizontal="center" vertical="center"/>
    </xf>
    <xf numFmtId="0" fontId="31" fillId="4" borderId="0" xfId="0" applyFont="1" applyFill="1" applyAlignment="1">
      <alignment horizontal="center" vertical="center" wrapText="1"/>
    </xf>
    <xf numFmtId="0" fontId="31" fillId="8" borderId="0" xfId="0" applyFont="1" applyFill="1" applyAlignment="1">
      <alignment horizontal="center" vertical="center" wrapText="1"/>
    </xf>
    <xf numFmtId="0" fontId="31" fillId="10" borderId="0" xfId="0" applyFont="1" applyFill="1" applyAlignment="1">
      <alignment horizontal="center" vertical="center" wrapText="1"/>
    </xf>
    <xf numFmtId="0" fontId="31" fillId="9" borderId="0" xfId="0" applyFont="1" applyFill="1" applyAlignment="1">
      <alignment horizontal="center" vertical="center" wrapText="1"/>
    </xf>
    <xf numFmtId="0" fontId="31" fillId="11" borderId="0" xfId="0" applyFont="1" applyFill="1" applyAlignment="1">
      <alignment horizontal="center" vertical="center" wrapText="1"/>
    </xf>
    <xf numFmtId="0" fontId="3" fillId="6" borderId="0" xfId="0" applyFont="1" applyFill="1" applyAlignment="1">
      <alignment horizontal="center" vertical="center"/>
    </xf>
    <xf numFmtId="0" fontId="0" fillId="12" borderId="9" xfId="0" applyFill="1" applyBorder="1"/>
    <xf numFmtId="0" fontId="0" fillId="12" borderId="10" xfId="0" applyFill="1" applyBorder="1"/>
    <xf numFmtId="0" fontId="0" fillId="0" borderId="9" xfId="0" applyBorder="1"/>
    <xf numFmtId="0" fontId="0" fillId="0" borderId="10" xfId="0" applyBorder="1"/>
    <xf numFmtId="0" fontId="33" fillId="0" borderId="0" xfId="0" applyFont="1" applyAlignment="1">
      <alignment vertical="center"/>
    </xf>
    <xf numFmtId="0" fontId="34" fillId="0" borderId="0" xfId="0" applyFont="1" applyAlignment="1">
      <alignment horizontal="left" vertical="center"/>
    </xf>
    <xf numFmtId="14" fontId="0" fillId="13" borderId="0" xfId="0" applyNumberFormat="1" applyFill="1"/>
    <xf numFmtId="0" fontId="32" fillId="0" borderId="0" xfId="0" applyFont="1"/>
    <xf numFmtId="0" fontId="35" fillId="0" borderId="0" xfId="0" applyFont="1"/>
    <xf numFmtId="0" fontId="38" fillId="15" borderId="0" xfId="0" applyFont="1" applyFill="1" applyAlignment="1">
      <alignment horizontal="center" vertical="center" wrapText="1"/>
    </xf>
    <xf numFmtId="0" fontId="39" fillId="15" borderId="0" xfId="0" applyFont="1" applyFill="1" applyAlignment="1">
      <alignment horizontal="center" vertical="center" wrapText="1"/>
    </xf>
    <xf numFmtId="0" fontId="40" fillId="0" borderId="14" xfId="0" applyFont="1" applyBorder="1" applyAlignment="1">
      <alignment vertical="center" wrapText="1"/>
    </xf>
    <xf numFmtId="169" fontId="40" fillId="0" borderId="14" xfId="0" applyNumberFormat="1" applyFont="1" applyBorder="1" applyAlignment="1">
      <alignment vertical="center" wrapText="1"/>
    </xf>
    <xf numFmtId="0" fontId="0" fillId="0" borderId="14" xfId="0" applyBorder="1"/>
    <xf numFmtId="0" fontId="41" fillId="16" borderId="14" xfId="0" applyFont="1" applyFill="1" applyBorder="1" applyAlignment="1">
      <alignment horizontal="center" vertical="center" wrapText="1"/>
    </xf>
    <xf numFmtId="0" fontId="41" fillId="17" borderId="14" xfId="0" applyFont="1" applyFill="1" applyBorder="1" applyAlignment="1">
      <alignment horizontal="center" vertical="center" wrapText="1"/>
    </xf>
    <xf numFmtId="0" fontId="41" fillId="18" borderId="14" xfId="0" applyFont="1" applyFill="1" applyBorder="1" applyAlignment="1">
      <alignment horizontal="center" vertical="center" wrapText="1"/>
    </xf>
    <xf numFmtId="0" fontId="41" fillId="19" borderId="14" xfId="0" applyFont="1" applyFill="1" applyBorder="1" applyAlignment="1">
      <alignment horizontal="center" vertical="center" wrapText="1"/>
    </xf>
    <xf numFmtId="0" fontId="41" fillId="20" borderId="14" xfId="0" applyFont="1" applyFill="1" applyBorder="1" applyAlignment="1">
      <alignment horizontal="center" vertical="center" wrapText="1"/>
    </xf>
    <xf numFmtId="0" fontId="38" fillId="14" borderId="0" xfId="0" applyFont="1" applyFill="1"/>
    <xf numFmtId="0" fontId="0" fillId="16" borderId="0" xfId="0" applyFill="1"/>
    <xf numFmtId="0" fontId="0" fillId="17" borderId="0" xfId="0" applyFill="1"/>
    <xf numFmtId="0" fontId="0" fillId="18" borderId="0" xfId="0" applyFill="1"/>
    <xf numFmtId="0" fontId="0" fillId="19" borderId="0" xfId="0" applyFill="1"/>
    <xf numFmtId="0" fontId="0" fillId="20" borderId="0" xfId="0" applyFill="1"/>
    <xf numFmtId="0" fontId="38" fillId="15" borderId="0" xfId="0" applyFont="1" applyFill="1" applyAlignment="1">
      <alignment wrapText="1"/>
    </xf>
    <xf numFmtId="0" fontId="40" fillId="16" borderId="14" xfId="0" applyFont="1" applyFill="1" applyBorder="1" applyAlignment="1">
      <alignment vertical="top" wrapText="1"/>
    </xf>
    <xf numFmtId="0" fontId="40" fillId="0" borderId="14" xfId="0" applyFont="1" applyBorder="1" applyAlignment="1">
      <alignment vertical="top" wrapText="1"/>
    </xf>
    <xf numFmtId="169" fontId="40" fillId="0" borderId="14" xfId="0" applyNumberFormat="1" applyFont="1" applyBorder="1" applyAlignment="1">
      <alignment vertical="top" wrapText="1"/>
    </xf>
    <xf numFmtId="0" fontId="43" fillId="0" borderId="14" xfId="0" applyFont="1" applyBorder="1" applyAlignment="1">
      <alignment vertical="top" wrapText="1"/>
    </xf>
    <xf numFmtId="0" fontId="40" fillId="17" borderId="14" xfId="0" applyFont="1" applyFill="1" applyBorder="1" applyAlignment="1">
      <alignment vertical="top" wrapText="1"/>
    </xf>
    <xf numFmtId="0" fontId="40" fillId="18" borderId="14" xfId="0" applyFont="1" applyFill="1" applyBorder="1" applyAlignment="1">
      <alignment vertical="top" wrapText="1"/>
    </xf>
    <xf numFmtId="0" fontId="40" fillId="19" borderId="14" xfId="0" applyFont="1" applyFill="1" applyBorder="1" applyAlignment="1">
      <alignment vertical="top" wrapText="1"/>
    </xf>
    <xf numFmtId="0" fontId="40" fillId="20" borderId="14" xfId="0" applyFont="1" applyFill="1" applyBorder="1" applyAlignment="1">
      <alignment vertical="top" wrapText="1"/>
    </xf>
    <xf numFmtId="0" fontId="0" fillId="0" borderId="0" xfId="0" applyAlignment="1">
      <alignment wrapText="1"/>
    </xf>
    <xf numFmtId="0" fontId="36" fillId="14" borderId="0" xfId="0" applyFont="1" applyFill="1" applyAlignment="1">
      <alignment horizontal="left" vertical="center"/>
    </xf>
    <xf numFmtId="0" fontId="0" fillId="0" borderId="0" xfId="0"/>
    <xf numFmtId="0" fontId="37" fillId="0" borderId="0" xfId="0" applyFont="1" applyAlignment="1">
      <alignment vertical="center" wrapText="1"/>
    </xf>
    <xf numFmtId="0" fontId="28" fillId="2" borderId="11" xfId="0" applyFont="1" applyFill="1" applyBorder="1" applyAlignment="1">
      <alignment horizontal="center" vertical="center"/>
    </xf>
    <xf numFmtId="0" fontId="28" fillId="2" borderId="12" xfId="0" applyFont="1" applyFill="1" applyBorder="1" applyAlignment="1">
      <alignment horizontal="center" vertical="center"/>
    </xf>
    <xf numFmtId="0" fontId="28" fillId="2" borderId="13" xfId="0" applyFont="1" applyFill="1" applyBorder="1" applyAlignment="1">
      <alignment horizontal="center" vertical="center"/>
    </xf>
    <xf numFmtId="0" fontId="9" fillId="6" borderId="0" xfId="0" applyFont="1" applyFill="1" applyAlignment="1">
      <alignment horizontal="left" vertical="center"/>
    </xf>
    <xf numFmtId="0" fontId="8" fillId="7" borderId="7" xfId="0" applyFont="1" applyFill="1" applyBorder="1" applyAlignment="1">
      <alignment horizontal="center" vertical="center"/>
    </xf>
    <xf numFmtId="0" fontId="8" fillId="7" borderId="0" xfId="0" applyFont="1" applyFill="1" applyAlignment="1">
      <alignment horizontal="center" vertical="center"/>
    </xf>
    <xf numFmtId="167" fontId="15" fillId="7" borderId="4" xfId="0" applyNumberFormat="1" applyFont="1" applyFill="1" applyBorder="1" applyAlignment="1">
      <alignment horizontal="center" vertical="center"/>
    </xf>
    <xf numFmtId="167" fontId="15" fillId="7" borderId="5" xfId="0" applyNumberFormat="1" applyFont="1" applyFill="1" applyBorder="1" applyAlignment="1">
      <alignment horizontal="center" vertical="center"/>
    </xf>
    <xf numFmtId="167" fontId="15" fillId="7" borderId="6" xfId="0" applyNumberFormat="1" applyFont="1" applyFill="1" applyBorder="1" applyAlignment="1">
      <alignment horizontal="center" vertical="center"/>
    </xf>
    <xf numFmtId="0" fontId="9" fillId="6" borderId="0" xfId="0" applyFont="1" applyFill="1" applyAlignment="1">
      <alignment horizontal="right" vertical="center"/>
    </xf>
    <xf numFmtId="0" fontId="42" fillId="14" borderId="0" xfId="0" applyFont="1" applyFill="1" applyAlignment="1">
      <alignment horizontal="left"/>
    </xf>
    <xf numFmtId="0" fontId="41" fillId="0" borderId="14" xfId="0" applyFont="1" applyFill="1" applyBorder="1" applyAlignment="1">
      <alignment horizontal="center" vertical="center" wrapText="1"/>
    </xf>
    <xf numFmtId="0" fontId="45" fillId="21" borderId="14" xfId="0" applyFont="1" applyFill="1" applyBorder="1" applyAlignment="1">
      <alignment vertical="center" wrapText="1"/>
    </xf>
    <xf numFmtId="0" fontId="41" fillId="21" borderId="14" xfId="0" applyFont="1" applyFill="1" applyBorder="1" applyAlignment="1">
      <alignment horizontal="center" vertical="center" wrapText="1"/>
    </xf>
    <xf numFmtId="0" fontId="0" fillId="21" borderId="14" xfId="0" applyFill="1" applyBorder="1"/>
  </cellXfs>
  <cellStyles count="2">
    <cellStyle name="Normal" xfId="0" builtinId="0"/>
    <cellStyle name="Normal 2" xfId="1" xr:uid="{EB427C71-B2B5-4E69-B42E-A807584D2CAA}"/>
  </cellStyles>
  <dxfs count="68">
    <dxf>
      <border>
        <left/>
        <right style="thin">
          <color theme="0" tint="-0.14996795556505021"/>
        </right>
        <top/>
        <bottom/>
        <vertical/>
        <horizontal/>
      </border>
    </dxf>
    <dxf>
      <fill>
        <patternFill>
          <bgColor rgb="FFA43C51"/>
        </patternFill>
      </fill>
      <border>
        <top style="thin">
          <color theme="0"/>
        </top>
        <bottom style="thin">
          <color theme="0"/>
        </bottom>
        <vertical/>
        <horizontal/>
      </border>
    </dxf>
    <dxf>
      <fill>
        <patternFill>
          <bgColor rgb="FF681D34"/>
        </patternFill>
      </fill>
      <border>
        <top style="thin">
          <color theme="0"/>
        </top>
        <bottom style="thin">
          <color theme="0"/>
        </bottom>
        <vertical/>
        <horizontal/>
      </border>
    </dxf>
    <dxf>
      <fill>
        <patternFill patternType="solid">
          <fgColor auto="1"/>
          <bgColor rgb="FF8D1F2C"/>
        </patternFill>
      </fill>
      <border>
        <top style="thin">
          <color theme="0"/>
        </top>
        <bottom style="thin">
          <color theme="0"/>
        </bottom>
        <vertical/>
        <horizontal/>
      </border>
    </dxf>
    <dxf>
      <fill>
        <patternFill>
          <bgColor theme="0" tint="-0.14996795556505021"/>
        </patternFill>
      </fill>
      <border>
        <top style="thin">
          <color theme="0"/>
        </top>
        <bottom style="thin">
          <color theme="0"/>
        </bottom>
        <vertical/>
        <horizontal/>
      </border>
    </dxf>
    <dxf>
      <fill>
        <patternFill>
          <bgColor rgb="FFFFC000"/>
        </patternFill>
      </fill>
      <border>
        <top style="thin">
          <color theme="0"/>
        </top>
        <bottom style="thin">
          <color theme="0"/>
        </bottom>
        <vertical/>
        <horizontal/>
      </border>
    </dxf>
    <dxf>
      <fill>
        <patternFill>
          <bgColor rgb="FF00B0F0"/>
        </patternFill>
      </fill>
      <border>
        <top style="thin">
          <color theme="0"/>
        </top>
        <bottom style="thin">
          <color theme="0"/>
        </bottom>
        <vertical/>
        <horizontal/>
      </border>
    </dxf>
    <dxf>
      <fill>
        <patternFill>
          <bgColor rgb="FF00B050"/>
        </patternFill>
      </fill>
      <border>
        <top style="thin">
          <color theme="0"/>
        </top>
        <bottom style="thin">
          <color theme="0"/>
        </bottom>
        <vertical/>
        <horizontal/>
      </border>
    </dxf>
    <dxf>
      <fill>
        <patternFill>
          <bgColor theme="0" tint="-0.24994659260841701"/>
        </patternFill>
      </fill>
      <border>
        <top style="thin">
          <color theme="0"/>
        </top>
        <bottom style="thin">
          <color theme="0"/>
        </bottom>
        <vertical/>
        <horizontal/>
      </border>
    </dxf>
    <dxf>
      <font>
        <b/>
        <i val="0"/>
        <color rgb="FFEA6952"/>
      </font>
      <fill>
        <patternFill patternType="solid">
          <fgColor theme="0"/>
          <bgColor rgb="FF8D1F2C"/>
        </patternFill>
      </fill>
      <border>
        <left style="thin">
          <color rgb="FFEA6952"/>
        </left>
        <right style="thin">
          <color rgb="FFEA6952"/>
        </right>
        <top style="thin">
          <color rgb="FFEA6952"/>
        </top>
        <bottom style="thin">
          <color rgb="FFEA6952"/>
        </bottom>
      </border>
    </dxf>
    <dxf>
      <border>
        <left/>
        <right style="thin">
          <color theme="0" tint="-0.14996795556505021"/>
        </right>
        <top/>
        <bottom/>
        <vertical/>
        <horizontal/>
      </border>
    </dxf>
    <dxf>
      <font>
        <color rgb="FF0033CC"/>
      </font>
    </dxf>
    <dxf>
      <font>
        <b/>
        <i val="0"/>
      </font>
      <numFmt numFmtId="0" formatCode="General"/>
    </dxf>
    <dxf>
      <numFmt numFmtId="170" formatCode="\ \ \ @"/>
    </dxf>
    <dxf>
      <font>
        <b/>
        <i val="0"/>
      </font>
      <numFmt numFmtId="0" formatCode="General"/>
    </dxf>
    <dxf>
      <numFmt numFmtId="170" formatCode="\ \ \ @"/>
    </dxf>
    <dxf>
      <font>
        <b/>
        <i val="0"/>
      </font>
      <numFmt numFmtId="0" formatCode="General"/>
    </dxf>
    <dxf>
      <numFmt numFmtId="170" formatCode="\ \ \ @"/>
    </dxf>
    <dxf>
      <numFmt numFmtId="0" formatCode="General"/>
    </dxf>
    <dxf>
      <numFmt numFmtId="171" formatCode="d/mm/yyyy\ h:mm"/>
    </dxf>
    <dxf>
      <numFmt numFmtId="171" formatCode="d/mm/yyyy\ h:mm"/>
    </dxf>
    <dxf>
      <numFmt numFmtId="0" formatCode="General"/>
    </dxf>
    <dxf>
      <numFmt numFmtId="27" formatCode="d/m/yyyy\ h:mm"/>
    </dxf>
    <dxf>
      <numFmt numFmtId="27" formatCode="d/m/yyyy\ h:mm"/>
    </dxf>
    <dxf>
      <numFmt numFmtId="19" formatCode="d/m/yyyy"/>
    </dxf>
    <dxf>
      <numFmt numFmtId="0" formatCode="General"/>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19" formatCode="d/m/yyyy"/>
      <fill>
        <patternFill patternType="none">
          <fgColor indexed="64"/>
          <bgColor indexed="65"/>
        </patternFill>
      </fill>
    </dxf>
    <dxf>
      <numFmt numFmtId="19" formatCode="d/m/yyyy"/>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0" formatCode="General"/>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19" formatCode="d/m/yyyy"/>
      <fill>
        <patternFill patternType="none">
          <fgColor indexed="64"/>
          <bgColor indexed="65"/>
        </patternFill>
      </fill>
    </dxf>
    <dxf>
      <numFmt numFmtId="19" formatCode="d/m/yyyy"/>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172" formatCode="d/mm/yyyy"/>
    </dxf>
    <dxf>
      <numFmt numFmtId="172" formatCode="d/mm/yyyy"/>
    </dxf>
    <dxf>
      <numFmt numFmtId="0" formatCode="General"/>
    </dxf>
    <dxf>
      <numFmt numFmtId="172" formatCode="d/mm/yyyy"/>
    </dxf>
    <dxf>
      <numFmt numFmtId="172" formatCode="d/mm/yyyy"/>
    </dxf>
    <dxf>
      <numFmt numFmtId="0" formatCode="General"/>
    </dxf>
  </dxfs>
  <tableStyles count="0" defaultTableStyle="TableStyleMedium2" defaultPivotStyle="PivotStyleLight16"/>
  <colors>
    <mruColors>
      <color rgb="FF9966FF"/>
      <color rgb="FF681D34"/>
      <color rgb="FF0070C0"/>
      <color rgb="FF8D1F2C"/>
      <color rgb="FFEA6952"/>
      <color rgb="FFA43C51"/>
      <color rgb="FF32DAAA"/>
      <color rgb="FF0033CC"/>
      <color rgb="FFE5DDD5"/>
      <color rgb="FFFEE5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microsoft.com/office/2022/10/relationships/richValueRel" Target="richData/richValueRel.xml"/><Relationship Id="rId10" Type="http://schemas.openxmlformats.org/officeDocument/2006/relationships/theme" Target="theme/them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trlProps/ctrlProp1.xml><?xml version="1.0" encoding="utf-8"?>
<formControlPr xmlns="http://schemas.microsoft.com/office/spreadsheetml/2009/9/main" objectType="Scroll" dx="26" fmlaLink="$S$2" horiz="1" max="10" min="1" page="0"/>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2324100</xdr:colOff>
      <xdr:row>38</xdr:row>
      <xdr:rowOff>66675</xdr:rowOff>
    </xdr:from>
    <xdr:to>
      <xdr:col>1</xdr:col>
      <xdr:colOff>6143625</xdr:colOff>
      <xdr:row>38</xdr:row>
      <xdr:rowOff>1171496</xdr:rowOff>
    </xdr:to>
    <xdr:pic>
      <xdr:nvPicPr>
        <xdr:cNvPr id="2" name="Picture 1">
          <a:extLst>
            <a:ext uri="{FF2B5EF4-FFF2-40B4-BE49-F238E27FC236}">
              <a16:creationId xmlns:a16="http://schemas.microsoft.com/office/drawing/2014/main" id="{7D754D5C-B6AB-D6F8-77E1-A520F211FE30}"/>
            </a:ext>
          </a:extLst>
        </xdr:cNvPr>
        <xdr:cNvPicPr>
          <a:picLocks noChangeAspect="1"/>
        </xdr:cNvPicPr>
      </xdr:nvPicPr>
      <xdr:blipFill>
        <a:blip xmlns:r="http://schemas.openxmlformats.org/officeDocument/2006/relationships" r:embed="rId1"/>
        <a:stretch>
          <a:fillRect/>
        </a:stretch>
      </xdr:blipFill>
      <xdr:spPr>
        <a:xfrm>
          <a:off x="2619375" y="8915400"/>
          <a:ext cx="3819525" cy="1104821"/>
        </a:xfrm>
        <a:prstGeom prst="rect">
          <a:avLst/>
        </a:prstGeom>
      </xdr:spPr>
    </xdr:pic>
    <xdr:clientData/>
  </xdr:twoCellAnchor>
  <xdr:twoCellAnchor editAs="absolute">
    <xdr:from>
      <xdr:col>1</xdr:col>
      <xdr:colOff>2486025</xdr:colOff>
      <xdr:row>2</xdr:row>
      <xdr:rowOff>95250</xdr:rowOff>
    </xdr:from>
    <xdr:to>
      <xdr:col>1</xdr:col>
      <xdr:colOff>6591300</xdr:colOff>
      <xdr:row>4</xdr:row>
      <xdr:rowOff>19050</xdr:rowOff>
    </xdr:to>
    <xdr:sp macro="" textlink="">
      <xdr:nvSpPr>
        <xdr:cNvPr id="4" name="TextBox 3">
          <a:extLst>
            <a:ext uri="{FF2B5EF4-FFF2-40B4-BE49-F238E27FC236}">
              <a16:creationId xmlns:a16="http://schemas.microsoft.com/office/drawing/2014/main" id="{A8CE498E-9F55-4B93-BD90-B4E7FA4A5119}"/>
            </a:ext>
          </a:extLst>
        </xdr:cNvPr>
        <xdr:cNvSpPr txBox="1"/>
      </xdr:nvSpPr>
      <xdr:spPr>
        <a:xfrm>
          <a:off x="2781300" y="933450"/>
          <a:ext cx="41052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b="1">
              <a:solidFill>
                <a:srgbClr val="681D34"/>
              </a:solidFill>
              <a:latin typeface="Aptos" panose="020B0004020202020204" pitchFamily="34" charset="0"/>
            </a:rPr>
            <a:t>Roadmap - README</a:t>
          </a:r>
        </a:p>
      </xdr:txBody>
    </xdr:sp>
    <xdr:clientData/>
  </xdr:twoCellAnchor>
  <xdr:twoCellAnchor editAs="oneCell">
    <xdr:from>
      <xdr:col>1</xdr:col>
      <xdr:colOff>1447801</xdr:colOff>
      <xdr:row>1</xdr:row>
      <xdr:rowOff>57151</xdr:rowOff>
    </xdr:from>
    <xdr:to>
      <xdr:col>1</xdr:col>
      <xdr:colOff>2466975</xdr:colOff>
      <xdr:row>6</xdr:row>
      <xdr:rowOff>9525</xdr:rowOff>
    </xdr:to>
    <xdr:pic>
      <xdr:nvPicPr>
        <xdr:cNvPr id="6" name="Picture 5">
          <a:extLst>
            <a:ext uri="{FF2B5EF4-FFF2-40B4-BE49-F238E27FC236}">
              <a16:creationId xmlns:a16="http://schemas.microsoft.com/office/drawing/2014/main" id="{02CD83F2-26CD-91BC-D8F2-C647D6C31FB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43076" y="704851"/>
          <a:ext cx="1019174" cy="10191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21</xdr:col>
          <xdr:colOff>330200</xdr:colOff>
          <xdr:row>0</xdr:row>
          <xdr:rowOff>101600</xdr:rowOff>
        </xdr:from>
        <xdr:to>
          <xdr:col>33</xdr:col>
          <xdr:colOff>279400</xdr:colOff>
          <xdr:row>0</xdr:row>
          <xdr:rowOff>368300</xdr:rowOff>
        </xdr:to>
        <xdr:sp macro="" textlink="">
          <xdr:nvSpPr>
            <xdr:cNvPr id="8193" name="Scroll Bar 1" hidden="1">
              <a:extLst>
                <a:ext uri="{63B3BB69-23CF-44E3-9099-C40C66FF867C}">
                  <a14:compatExt spid="_x0000_s8193"/>
                </a:ext>
                <a:ext uri="{FF2B5EF4-FFF2-40B4-BE49-F238E27FC236}">
                  <a16:creationId xmlns:a16="http://schemas.microsoft.com/office/drawing/2014/main" id="{00000000-0008-0000-0100-000001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absolute">
    <xdr:from>
      <xdr:col>1</xdr:col>
      <xdr:colOff>1571625</xdr:colOff>
      <xdr:row>0</xdr:row>
      <xdr:rowOff>66675</xdr:rowOff>
    </xdr:from>
    <xdr:to>
      <xdr:col>3</xdr:col>
      <xdr:colOff>542925</xdr:colOff>
      <xdr:row>1</xdr:row>
      <xdr:rowOff>0</xdr:rowOff>
    </xdr:to>
    <xdr:sp macro="" textlink="">
      <xdr:nvSpPr>
        <xdr:cNvPr id="3" name="TextBox 2">
          <a:extLst>
            <a:ext uri="{FF2B5EF4-FFF2-40B4-BE49-F238E27FC236}">
              <a16:creationId xmlns:a16="http://schemas.microsoft.com/office/drawing/2014/main" id="{8BFA9B15-EC9B-453E-8DC7-DC080562AD61}"/>
            </a:ext>
          </a:extLst>
        </xdr:cNvPr>
        <xdr:cNvSpPr txBox="1"/>
      </xdr:nvSpPr>
      <xdr:spPr>
        <a:xfrm>
          <a:off x="1571625" y="66675"/>
          <a:ext cx="34194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b="1">
              <a:solidFill>
                <a:schemeClr val="bg1"/>
              </a:solidFill>
              <a:latin typeface="Aptos" panose="020B0004020202020204" pitchFamily="34" charset="0"/>
            </a:rPr>
            <a:t>Youth Program Team Roadmap</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40</xdr:col>
      <xdr:colOff>19050</xdr:colOff>
      <xdr:row>22</xdr:row>
      <xdr:rowOff>105822</xdr:rowOff>
    </xdr:from>
    <xdr:to>
      <xdr:col>55</xdr:col>
      <xdr:colOff>106189</xdr:colOff>
      <xdr:row>40</xdr:row>
      <xdr:rowOff>48158</xdr:rowOff>
    </xdr:to>
    <xdr:pic>
      <xdr:nvPicPr>
        <xdr:cNvPr id="2" name="Picture 1">
          <a:extLst>
            <a:ext uri="{FF2B5EF4-FFF2-40B4-BE49-F238E27FC236}">
              <a16:creationId xmlns:a16="http://schemas.microsoft.com/office/drawing/2014/main" id="{EEC52449-CFA2-9141-3341-DE9FAFC37132}"/>
            </a:ext>
          </a:extLst>
        </xdr:cNvPr>
        <xdr:cNvPicPr>
          <a:picLocks noChangeAspect="1"/>
        </xdr:cNvPicPr>
      </xdr:nvPicPr>
      <xdr:blipFill>
        <a:blip xmlns:r="http://schemas.openxmlformats.org/officeDocument/2006/relationships" r:embed="rId1"/>
        <a:stretch>
          <a:fillRect/>
        </a:stretch>
      </xdr:blipFill>
      <xdr:spPr>
        <a:xfrm>
          <a:off x="10382250" y="4401597"/>
          <a:ext cx="8945390" cy="3371336"/>
        </a:xfrm>
        <a:prstGeom prst="rect">
          <a:avLst/>
        </a:prstGeom>
      </xdr:spPr>
    </xdr:pic>
    <xdr:clientData/>
  </xdr:twoCellAnchor>
  <xdr:twoCellAnchor>
    <xdr:from>
      <xdr:col>40</xdr:col>
      <xdr:colOff>561974</xdr:colOff>
      <xdr:row>47</xdr:row>
      <xdr:rowOff>92076</xdr:rowOff>
    </xdr:from>
    <xdr:to>
      <xdr:col>49</xdr:col>
      <xdr:colOff>107949</xdr:colOff>
      <xdr:row>56</xdr:row>
      <xdr:rowOff>6350</xdr:rowOff>
    </xdr:to>
    <xdr:sp macro="" textlink="">
      <xdr:nvSpPr>
        <xdr:cNvPr id="3" name="TextBox 2">
          <a:extLst>
            <a:ext uri="{FF2B5EF4-FFF2-40B4-BE49-F238E27FC236}">
              <a16:creationId xmlns:a16="http://schemas.microsoft.com/office/drawing/2014/main" id="{1738D720-5245-3F9F-D15A-A0160FE05C12}"/>
            </a:ext>
          </a:extLst>
        </xdr:cNvPr>
        <xdr:cNvSpPr txBox="1"/>
      </xdr:nvSpPr>
      <xdr:spPr>
        <a:xfrm>
          <a:off x="12411074" y="9159876"/>
          <a:ext cx="5603875" cy="1819274"/>
        </a:xfrm>
        <a:prstGeom prst="rect">
          <a:avLst/>
        </a:prstGeom>
        <a:solidFill>
          <a:schemeClr val="lt1"/>
        </a:solidFill>
        <a:ln w="285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b="1">
              <a:solidFill>
                <a:srgbClr val="FF0000"/>
              </a:solidFill>
            </a:rPr>
            <a:t>Notes:</a:t>
          </a:r>
        </a:p>
        <a:p>
          <a:r>
            <a:rPr lang="en-AU" sz="1100"/>
            <a:t>How can we link</a:t>
          </a:r>
          <a:r>
            <a:rPr lang="en-AU" sz="1100" baseline="0"/>
            <a:t> to predecessors and show it on the roadmap?</a:t>
          </a:r>
        </a:p>
        <a:p>
          <a:endParaRPr lang="en-AU" sz="1100" baseline="0"/>
        </a:p>
        <a:p>
          <a:r>
            <a:rPr lang="en-AU" sz="1100" baseline="0"/>
            <a:t>Audience for applications/attendees/communications?</a:t>
          </a:r>
        </a:p>
        <a:p>
          <a:endParaRPr lang="en-AU" sz="1100" baseline="0"/>
        </a:p>
        <a:p>
          <a:r>
            <a:rPr lang="en-AU" sz="1100" baseline="0"/>
            <a:t>Responsible Formation?</a:t>
          </a:r>
        </a:p>
        <a:p>
          <a:endParaRPr lang="en-AU" sz="1100" baseline="0"/>
        </a:p>
        <a:p>
          <a:r>
            <a:rPr lang="en-AU" sz="1100" baseline="0"/>
            <a:t>Attendee numbers to estimate size? (and/or Major Event Tier?)</a:t>
          </a:r>
        </a:p>
        <a:p>
          <a:endParaRPr lang="en-AU" sz="1100" baseline="0"/>
        </a:p>
        <a:p>
          <a:endParaRPr lang="en-AU" sz="1100" baseline="0"/>
        </a:p>
      </xdr:txBody>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9B97A108-4BE8-4565-BFFE-F1596217D349}" autoFormatId="16" applyNumberFormats="0" applyBorderFormats="0" applyFontFormats="0" applyPatternFormats="0" applyAlignmentFormats="0" applyWidthHeightFormats="0">
  <queryTableRefresh nextId="84">
    <queryTableFields count="61">
      <queryTableField id="1" name="FileSystemObjectType" tableColumnId="1"/>
      <queryTableField id="2" name="Id" tableColumnId="2"/>
      <queryTableField id="3" name="ServerRedirectedEmbedUri" tableColumnId="3"/>
      <queryTableField id="4" name="ServerRedirectedEmbedUrl" tableColumnId="4"/>
      <queryTableField id="5" name="Title" tableColumnId="5"/>
      <queryTableField id="6" name="Description" tableColumnId="6"/>
      <queryTableField id="7" name="Priority" tableColumnId="7"/>
      <queryTableField id="8" name="Parent Work ItemId" tableColumnId="8"/>
      <queryTableField id="9" name="Category0" tableColumnId="9"/>
      <queryTableField id="10" name="Progress" tableColumnId="10"/>
      <queryTableField id="11" name="StartDate" tableColumnId="11"/>
      <queryTableField id="12" name="DueDate" tableColumnId="12"/>
      <queryTableField id="13" name="AssignedTo0Id" tableColumnId="13"/>
      <queryTableField id="14" name="AssignedTo0StringId" tableColumnId="14"/>
      <queryTableField id="15" name="Notes" tableColumnId="15"/>
      <queryTableField id="16" name="KeyStakeholdersId" tableColumnId="16"/>
      <queryTableField id="17" name="KeyStakeholdersStringId" tableColumnId="17"/>
      <queryTableField id="18" name="Location" tableColumnId="18"/>
      <queryTableField id="19" name="Tags" tableColumnId="19"/>
      <queryTableField id="20" name="CalendarID" tableColumnId="20"/>
      <queryTableField id="21" name="ContentTypeId" tableColumnId="21"/>
      <queryTableField id="22" name="OData__ColorTag" tableColumnId="22"/>
      <queryTableField id="23" name="ComplianceAssetId" tableColumnId="23"/>
      <queryTableField id="24" name="Operational ActionId" tableColumnId="24"/>
      <queryTableField id="25" name="YPT Tag" tableColumnId="25"/>
      <queryTableField id="26" name="Responsible" tableColumnId="26"/>
      <queryTableField id="27" name="Change Category" tableColumnId="27"/>
      <queryTableField id="28" name="Milestone" tableColumnId="28"/>
      <queryTableField id="29" name="ID.1" tableColumnId="29"/>
      <queryTableField id="30" name="Modified" tableColumnId="30"/>
      <queryTableField id="31" name="Created" tableColumnId="31"/>
      <queryTableField id="32" name="AuthorId" tableColumnId="32"/>
      <queryTableField id="33" name="EditorId" tableColumnId="33"/>
      <queryTableField id="34" name="OData__UIVersionString" tableColumnId="34"/>
      <queryTableField id="35" name="Attachments" tableColumnId="35"/>
      <queryTableField id="36" name="GUID" tableColumnId="36"/>
      <queryTableField id="40" name="FirstUniqueAncestorSecurableObject" tableColumnId="40"/>
      <queryTableField id="41" name="RoleAssignments" tableColumnId="41"/>
      <queryTableField id="42" name="AttachmentFiles" tableColumnId="42"/>
      <queryTableField id="43" name="ContentType" tableColumnId="43"/>
      <queryTableField id="44" name="GetDlpPolicyTip" tableColumnId="44"/>
      <queryTableField id="45" name="FieldValuesAsHtml" tableColumnId="45"/>
      <queryTableField id="46" name="FieldValuesAsText" tableColumnId="46"/>
      <queryTableField id="47" name="FieldValuesForEdit" tableColumnId="47"/>
      <queryTableField id="48" name="File" tableColumnId="48"/>
      <queryTableField id="49" name="Folder" tableColumnId="49"/>
      <queryTableField id="50" name="LikedByInformation" tableColumnId="50"/>
      <queryTableField id="51" name="ParentList" tableColumnId="51"/>
      <queryTableField id="52" name="Properties" tableColumnId="52"/>
      <queryTableField id="53" name="Versions" tableColumnId="53"/>
      <queryTableField id="54" name="Parent Work Item" tableColumnId="54"/>
      <queryTableField id="55" name="AssignedTo0" tableColumnId="55"/>
      <queryTableField id="56" name="KeyStakeholders" tableColumnId="56"/>
      <queryTableField id="57" name="Operational Action" tableColumnId="57"/>
      <queryTableField id="58" name="Author" tableColumnId="58"/>
      <queryTableField id="59" name="Editor" tableColumnId="59"/>
      <queryTableField id="37" name="Title2" tableColumnId="37"/>
      <queryTableField id="80" name="District" tableColumnId="60"/>
      <queryTableField id="81" name="Section" tableColumnId="61"/>
      <queryTableField id="38" name="OperationalActionTitle" tableColumnId="38"/>
      <queryTableField id="39" name="NewTitle" tableColumnId="3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80828EA1-8D81-4D48-84BA-25C51198E864}" autoFormatId="16" applyNumberFormats="0" applyBorderFormats="0" applyFontFormats="0" applyPatternFormats="0" applyAlignmentFormats="0" applyWidthHeightFormats="0">
  <queryTableRefresh nextId="41" unboundColumnsRight="1">
    <queryTableFields count="37">
      <queryTableField id="1" name="FileSystemObjectType" tableColumnId="1"/>
      <queryTableField id="2" name="Id" tableColumnId="2"/>
      <queryTableField id="3" name="ServerRedirectedEmbedUri" tableColumnId="3"/>
      <queryTableField id="4" name="ServerRedirectedEmbedUrl" tableColumnId="4"/>
      <queryTableField id="5" name="Title" tableColumnId="5"/>
      <queryTableField id="6" name="Description" tableColumnId="6"/>
      <queryTableField id="7" name="Priority" tableColumnId="7"/>
      <queryTableField id="8" name="Parent Work ItemId" tableColumnId="8"/>
      <queryTableField id="9" name="Category0" tableColumnId="9"/>
      <queryTableField id="10" name="Progress" tableColumnId="10"/>
      <queryTableField id="11" name="StartDate" tableColumnId="11"/>
      <queryTableField id="12" name="DueDate" tableColumnId="12"/>
      <queryTableField id="13" name="AssignedTo0Id" tableColumnId="13"/>
      <queryTableField id="14" name="AssignedTo0StringId" tableColumnId="14"/>
      <queryTableField id="15" name="Notes" tableColumnId="15"/>
      <queryTableField id="16" name="KeyStakeholdersId" tableColumnId="16"/>
      <queryTableField id="17" name="KeyStakeholdersStringId" tableColumnId="17"/>
      <queryTableField id="18" name="Location" tableColumnId="18"/>
      <queryTableField id="19" name="Tags" tableColumnId="19"/>
      <queryTableField id="20" name="CalendarID" tableColumnId="20"/>
      <queryTableField id="21" name="ContentTypeId" tableColumnId="21"/>
      <queryTableField id="22" name="OData__ColorTag" tableColumnId="22"/>
      <queryTableField id="23" name="ComplianceAssetId" tableColumnId="23"/>
      <queryTableField id="24" name="Operational ActionId" tableColumnId="24"/>
      <queryTableField id="25" name="YPT Tag" tableColumnId="25"/>
      <queryTableField id="26" name="Responsible" tableColumnId="26"/>
      <queryTableField id="27" name="Change Category" tableColumnId="27"/>
      <queryTableField id="28" name="Milestone" tableColumnId="28"/>
      <queryTableField id="29" name="ID.1" tableColumnId="29"/>
      <queryTableField id="30" name="Modified" tableColumnId="30"/>
      <queryTableField id="31" name="Created" tableColumnId="31"/>
      <queryTableField id="32" name="AuthorId" tableColumnId="32"/>
      <queryTableField id="33" name="EditorId" tableColumnId="33"/>
      <queryTableField id="34" name="OData__UIVersionString" tableColumnId="34"/>
      <queryTableField id="35" name="Attachments" tableColumnId="35"/>
      <queryTableField id="36" name="GUID" tableColumnId="36"/>
      <queryTableField id="40" dataBound="0" tableColumnId="4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1CA2BD19-F755-43FF-AE57-A75A18E2F64A}" autoFormatId="16" applyNumberFormats="0" applyBorderFormats="0" applyFontFormats="0" applyPatternFormats="0" applyAlignmentFormats="0" applyWidthHeightFormats="0">
  <queryTableRefresh nextId="26">
    <queryTableFields count="24">
      <queryTableField id="2" name="Id" tableColumnId="2"/>
      <queryTableField id="1" name="FileSystemObjectType" tableColumnId="1"/>
      <queryTableField id="3" name="ServerRedirectedEmbedUri" tableColumnId="3"/>
      <queryTableField id="4" name="ServerRedirectedEmbedUrl" tableColumnId="4"/>
      <queryTableField id="5" name="ContentTypeId" tableColumnId="5"/>
      <queryTableField id="6" name="Title" tableColumnId="6"/>
      <queryTableField id="7" name="OData__ColorTag" tableColumnId="7"/>
      <queryTableField id="8" name="ComplianceAssetId" tableColumnId="8"/>
      <queryTableField id="9" name="Strategic AreaId" tableColumnId="9"/>
      <queryTableField id="10" name="Impact" tableColumnId="10"/>
      <queryTableField id="11" name="Description" tableColumnId="11"/>
      <queryTableField id="12" name="Progress" tableColumnId="12"/>
      <queryTableField id="13" name="OwnerId" tableColumnId="13"/>
      <queryTableField id="14" name="OwnerStringId" tableColumnId="14"/>
      <queryTableField id="15" name="Strategic Area Text" tableColumnId="15"/>
      <queryTableField id="16" name="Estimated Completion" tableColumnId="16"/>
      <queryTableField id="17" name="ID.1" tableColumnId="17"/>
      <queryTableField id="18" name="Modified" tableColumnId="18"/>
      <queryTableField id="19" name="Created" tableColumnId="19"/>
      <queryTableField id="20" name="AuthorId" tableColumnId="20"/>
      <queryTableField id="21" name="EditorId" tableColumnId="21"/>
      <queryTableField id="22" name="OData__UIVersionString" tableColumnId="22"/>
      <queryTableField id="23" name="Attachments" tableColumnId="23"/>
      <queryTableField id="24" name="GUID" tableColumnId="2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73DB9100-01C2-4793-AE1E-B0FDB9F96D26}" autoFormatId="16" applyNumberFormats="0" applyBorderFormats="0" applyFontFormats="0" applyPatternFormats="0" applyAlignmentFormats="0" applyWidthHeightFormats="0">
  <queryTableRefresh nextId="40">
    <queryTableFields count="39">
      <queryTableField id="1" name="FileSystemObjectType" tableColumnId="1"/>
      <queryTableField id="2" name="Id" tableColumnId="2"/>
      <queryTableField id="3" name="ServerRedirectedEmbedUri" tableColumnId="3"/>
      <queryTableField id="4" name="ServerRedirectedEmbedUrl" tableColumnId="4"/>
      <queryTableField id="5" name="Title" tableColumnId="5"/>
      <queryTableField id="6" name="Description" tableColumnId="6"/>
      <queryTableField id="7" name="Priority" tableColumnId="7"/>
      <queryTableField id="8" name="Parent Work ItemId" tableColumnId="8"/>
      <queryTableField id="9" name="Category0" tableColumnId="9"/>
      <queryTableField id="10" name="Progress" tableColumnId="10"/>
      <queryTableField id="11" name="StartDate" tableColumnId="11"/>
      <queryTableField id="12" name="DueDate" tableColumnId="12"/>
      <queryTableField id="13" name="AssignedTo0Id" tableColumnId="13"/>
      <queryTableField id="14" name="AssignedTo0StringId" tableColumnId="14"/>
      <queryTableField id="15" name="Notes" tableColumnId="15"/>
      <queryTableField id="16" name="KeyStakeholdersId" tableColumnId="16"/>
      <queryTableField id="17" name="KeyStakeholdersStringId" tableColumnId="17"/>
      <queryTableField id="18" name="Location" tableColumnId="18"/>
      <queryTableField id="19" name="Tags" tableColumnId="19"/>
      <queryTableField id="20" name="CalendarID" tableColumnId="20"/>
      <queryTableField id="21" name="ContentTypeId" tableColumnId="21"/>
      <queryTableField id="22" name="OData__ColorTag" tableColumnId="22"/>
      <queryTableField id="23" name="ComplianceAssetId" tableColumnId="23"/>
      <queryTableField id="24" name="Operational ActionId" tableColumnId="24"/>
      <queryTableField id="25" name="YPT Tag" tableColumnId="25"/>
      <queryTableField id="26" name="Responsible" tableColumnId="26"/>
      <queryTableField id="27" name="Change Category" tableColumnId="27"/>
      <queryTableField id="28" name="Milestone" tableColumnId="28"/>
      <queryTableField id="29" name="ID.1" tableColumnId="29"/>
      <queryTableField id="30" name="Modified" tableColumnId="30"/>
      <queryTableField id="31" name="Created" tableColumnId="31"/>
      <queryTableField id="32" name="AuthorId" tableColumnId="32"/>
      <queryTableField id="33" name="EditorId" tableColumnId="33"/>
      <queryTableField id="34" name="OData__UIVersionString" tableColumnId="34"/>
      <queryTableField id="35" name="Attachments" tableColumnId="35"/>
      <queryTableField id="36" name="GUID" tableColumnId="36"/>
      <queryTableField id="37" name="Title2" tableColumnId="37"/>
      <queryTableField id="38" name="District" tableColumnId="38"/>
      <queryTableField id="39" name="Section" tableColumnId="39"/>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8C1E726-E9F4-431C-B826-EA511BC60FDA}" name="InfoDates" displayName="InfoDates" ref="A2:AM79" totalsRowShown="0">
  <autoFilter ref="A2:AM79" xr:uid="{65DF4348-D474-4CA3-AE08-B27E34B3FD19}"/>
  <tableColumns count="39">
    <tableColumn id="1" xr3:uid="{2BB433D0-0F87-44E7-A0E1-EE5403914503}" name="FileSystemObjectType"/>
    <tableColumn id="2" xr3:uid="{9FED6BD9-6394-4A1F-8C21-D6BCBAC3001A}" name="Id"/>
    <tableColumn id="3" xr3:uid="{E0CA733E-C1A2-4233-84D2-C01A763BF1DF}" name="ServerRedirectedEmbedUri"/>
    <tableColumn id="4" xr3:uid="{B02494F0-0C74-41F8-B081-B392B7689CB3}" name="ServerRedirectedEmbedUrl"/>
    <tableColumn id="5" xr3:uid="{8C99147F-0219-4188-8FCB-36086BE154B4}" name="Title" dataDxfId="67"/>
    <tableColumn id="6" xr3:uid="{ACE984CD-3AC7-4BA7-8ACC-10096E5CFC83}" name="Description"/>
    <tableColumn id="7" xr3:uid="{EC94DFF8-B969-44FB-9A79-81D32D904925}" name="Priority"/>
    <tableColumn id="8" xr3:uid="{76D3C594-3EDD-4F89-AB57-B76B1EBD1A18}" name="Parent Work ItemId"/>
    <tableColumn id="9" xr3:uid="{F7494125-BC54-406A-BA73-2587924A340D}" name="Category0"/>
    <tableColumn id="10" xr3:uid="{C23C5A22-B79B-406D-993C-43ED2D304769}" name="Progress"/>
    <tableColumn id="11" xr3:uid="{66C9A72A-8D84-4387-86CA-86BFBE38AB54}" name="StartDate" dataDxfId="66"/>
    <tableColumn id="12" xr3:uid="{A58DD194-A33B-47BD-9FAC-579BC485946A}" name="DueDate" dataDxfId="65"/>
    <tableColumn id="13" xr3:uid="{AD2845E6-F9C0-48FB-88E7-AE4C9FF993D4}" name="AssignedTo0Id"/>
    <tableColumn id="14" xr3:uid="{04B9E419-4AFD-48E2-B843-A2E08F22D5C2}" name="AssignedTo0StringId"/>
    <tableColumn id="15" xr3:uid="{9AA8C787-9AD1-4905-932C-CCE4E1E1E10A}" name="Notes"/>
    <tableColumn id="16" xr3:uid="{37009430-A402-40B0-9B61-25EA2C5BD82D}" name="KeyStakeholdersId"/>
    <tableColumn id="17" xr3:uid="{B2F10D47-5987-4710-817E-215FF33B32A0}" name="KeyStakeholdersStringId"/>
    <tableColumn id="18" xr3:uid="{0B97C93B-00A8-4896-B9F0-F53C21F5B78F}" name="Location"/>
    <tableColumn id="19" xr3:uid="{409BFF34-BA27-420E-A625-5800B1CCE325}" name="Tags"/>
    <tableColumn id="20" xr3:uid="{84242888-DDBA-40DB-9A0F-E20CB8262452}" name="CalendarID"/>
    <tableColumn id="21" xr3:uid="{C299502A-288F-49AA-AD42-88D8A6202A44}" name="ContentTypeId"/>
    <tableColumn id="22" xr3:uid="{5BD8554E-5FFF-4DB6-AFFA-A4926DE2517F}" name="OData__ColorTag"/>
    <tableColumn id="23" xr3:uid="{5C99269F-27D0-4D9F-8999-0391D515AC5C}" name="ComplianceAssetId"/>
    <tableColumn id="24" xr3:uid="{B4457DAE-A40A-46C6-9E69-313CE3612E49}" name="Operational ActionId"/>
    <tableColumn id="25" xr3:uid="{B2738819-DD4B-4176-8C4B-45433552C72B}" name="YPT Tag"/>
    <tableColumn id="26" xr3:uid="{C95E320D-B117-477E-BE1C-FD7BDAD135DF}" name="Responsible"/>
    <tableColumn id="27" xr3:uid="{1ABEB970-B1CD-4839-82CD-98E7E60BB74A}" name="Change Category" dataDxfId="64"/>
    <tableColumn id="28" xr3:uid="{2506FF11-DD41-4F36-803D-D6A66765F6AF}" name="Milestone"/>
    <tableColumn id="29" xr3:uid="{EC344221-0308-4AEB-8329-0B53928DE6D6}" name="ID.1"/>
    <tableColumn id="30" xr3:uid="{1562FD93-F873-46B0-9726-3E8FE7C850EE}" name="Modified"/>
    <tableColumn id="31" xr3:uid="{2335569E-1E5A-48D9-A04F-9EB282866D6E}" name="Created"/>
    <tableColumn id="32" xr3:uid="{4D4EB2F7-5EB7-452C-B937-A7A18589982F}" name="AuthorId"/>
    <tableColumn id="33" xr3:uid="{8436B70A-D7E0-4276-8A6E-3A985BC81A47}" name="EditorId"/>
    <tableColumn id="34" xr3:uid="{97729E17-7CCD-445B-BA0B-220D62B07500}" name="OData__UIVersionString"/>
    <tableColumn id="35" xr3:uid="{783C827C-E454-404F-BDAF-5895D15F0AE7}" name="Attachments"/>
    <tableColumn id="36" xr3:uid="{C657E04B-3E5D-4FE7-88E7-E16FA60BD72A}" name="GUID"/>
    <tableColumn id="37" xr3:uid="{AA62A675-6B33-466F-B161-34FEDCE233EC}" name="Title2"/>
    <tableColumn id="38" xr3:uid="{D399E276-0780-C145-9A0A-15C590DC8642}" name="District"/>
    <tableColumn id="39" xr3:uid="{15804B8C-1F73-3244-B911-684DD05CD95E}" name="Sec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863AF99-FB1C-42BD-884F-43E99AA1D460}" name="AllDates" displayName="AllDates" ref="A2:BI376" tableType="queryTable" totalsRowShown="0">
  <autoFilter ref="A2:BI376" xr:uid="{7863AF99-FB1C-42BD-884F-43E99AA1D460}"/>
  <sortState xmlns:xlrd2="http://schemas.microsoft.com/office/spreadsheetml/2017/richdata2" ref="A3:BI376">
    <sortCondition ref="K2:K376"/>
  </sortState>
  <tableColumns count="61">
    <tableColumn id="1" xr3:uid="{4A394A0C-1385-41AE-BE65-78B9AD329978}" uniqueName="1" name="FileSystemObjectType" queryTableFieldId="1"/>
    <tableColumn id="2" xr3:uid="{74A0F095-6714-46C0-BBCE-E2516B6873CA}" uniqueName="2" name="Id" queryTableFieldId="2"/>
    <tableColumn id="3" xr3:uid="{9A530F64-195A-42E0-8EC0-B77E6AA47F1C}" uniqueName="3" name="ServerRedirectedEmbedUri" queryTableFieldId="3"/>
    <tableColumn id="4" xr3:uid="{2B96AFAE-CE4F-4F7C-ADF1-C370A244439E}" uniqueName="4" name="ServerRedirectedEmbedUrl" queryTableFieldId="4"/>
    <tableColumn id="5" xr3:uid="{8C277434-B3A3-4F3D-A5E4-33BF54BD8ED9}" uniqueName="5" name="Title" queryTableFieldId="5"/>
    <tableColumn id="6" xr3:uid="{8105D2E3-62C7-45C7-BECB-9C713007E0C1}" uniqueName="6" name="Description" queryTableFieldId="6"/>
    <tableColumn id="7" xr3:uid="{8A968D36-06B2-49D0-975F-465794B0369E}" uniqueName="7" name="Priority" queryTableFieldId="7"/>
    <tableColumn id="8" xr3:uid="{5FC3EE56-F82C-4A66-A796-D30F5184E633}" uniqueName="8" name="Parent Work ItemId" queryTableFieldId="8"/>
    <tableColumn id="9" xr3:uid="{183582E4-378D-4187-B3B8-5D1519070AED}" uniqueName="9" name="Category0" queryTableFieldId="9"/>
    <tableColumn id="10" xr3:uid="{5E387AAA-E4C5-4159-9E3A-8BA82888A2C3}" uniqueName="10" name="Progress" queryTableFieldId="10"/>
    <tableColumn id="11" xr3:uid="{CCBDB78F-1F3F-4589-A17E-4567449A5CE4}" uniqueName="11" name="StartDate" queryTableFieldId="11" dataDxfId="63"/>
    <tableColumn id="12" xr3:uid="{C5A65201-5F51-4B51-A3E3-B92B2E5C87D0}" uniqueName="12" name="DueDate" queryTableFieldId="12" dataDxfId="62"/>
    <tableColumn id="13" xr3:uid="{5DAC59BD-7D70-4D0E-A761-E0A7CB16ABF6}" uniqueName="13" name="AssignedTo0Id" queryTableFieldId="13"/>
    <tableColumn id="14" xr3:uid="{F91BAC93-C6B9-4CFD-A7FF-032D9751B64A}" uniqueName="14" name="AssignedTo0StringId" queryTableFieldId="14"/>
    <tableColumn id="15" xr3:uid="{500D3CC4-A96B-4912-BAF0-0F6FFC962A61}" uniqueName="15" name="Notes" queryTableFieldId="15"/>
    <tableColumn id="16" xr3:uid="{7D7E95A6-C972-42A1-A16E-E3CC9F59EAEB}" uniqueName="16" name="KeyStakeholdersId" queryTableFieldId="16"/>
    <tableColumn id="17" xr3:uid="{4769A0A5-A648-4533-B8FC-761CE464F6AB}" uniqueName="17" name="KeyStakeholdersStringId" queryTableFieldId="17"/>
    <tableColumn id="18" xr3:uid="{99F823DB-799F-468F-9C5B-6D6CA698CBA1}" uniqueName="18" name="Location" queryTableFieldId="18"/>
    <tableColumn id="19" xr3:uid="{55A68659-8E1D-45AD-9962-91B334A40AFD}" uniqueName="19" name="Tags" queryTableFieldId="19"/>
    <tableColumn id="20" xr3:uid="{D4A56755-74CA-46D3-A252-0C88A0A774D6}" uniqueName="20" name="CalendarID" queryTableFieldId="20"/>
    <tableColumn id="21" xr3:uid="{6D7F9A5D-E2B7-4E2F-95BD-9256DC2B3D8B}" uniqueName="21" name="ContentTypeId" queryTableFieldId="21"/>
    <tableColumn id="22" xr3:uid="{73729C0D-683D-43A8-8E53-4010262290E4}" uniqueName="22" name="OData__ColorTag" queryTableFieldId="22"/>
    <tableColumn id="23" xr3:uid="{657C5CEE-5AF6-4621-BD9B-C3AD19A5F274}" uniqueName="23" name="ComplianceAssetId" queryTableFieldId="23"/>
    <tableColumn id="24" xr3:uid="{E6F34E83-30B9-46A7-A95D-5DAABE032230}" uniqueName="24" name="Operational ActionId" queryTableFieldId="24"/>
    <tableColumn id="25" xr3:uid="{C3A23537-7D9C-438D-A5D8-C317C072F7F2}" uniqueName="25" name="YPT Tag" queryTableFieldId="25"/>
    <tableColumn id="26" xr3:uid="{000C092B-8A45-4484-B533-8F4FC91698AF}" uniqueName="26" name="Responsible" queryTableFieldId="26"/>
    <tableColumn id="27" xr3:uid="{6D031E1A-5161-4321-81E1-6FDD74E7CB9D}" uniqueName="27" name="Change Category" queryTableFieldId="27"/>
    <tableColumn id="28" xr3:uid="{3E2F6C4B-0434-4015-A95C-EC231DE88519}" uniqueName="28" name="Milestone" queryTableFieldId="28"/>
    <tableColumn id="29" xr3:uid="{588EFAAC-8C69-4D0B-AB78-62F48BD76D8C}" uniqueName="29" name="ID.1" queryTableFieldId="29"/>
    <tableColumn id="30" xr3:uid="{6E1CBEA7-BDD0-4895-AA1E-EE836C6D619B}" uniqueName="30" name="Modified" queryTableFieldId="30"/>
    <tableColumn id="31" xr3:uid="{DDD1BA34-7FB4-4C53-AA5F-EAB1EFEC9178}" uniqueName="31" name="Created" queryTableFieldId="31"/>
    <tableColumn id="32" xr3:uid="{B9DC5C2D-2F61-4027-8947-20AD056E39B7}" uniqueName="32" name="AuthorId" queryTableFieldId="32"/>
    <tableColumn id="33" xr3:uid="{C9C33BCD-C085-4323-81B1-EC986DA00B3E}" uniqueName="33" name="EditorId" queryTableFieldId="33"/>
    <tableColumn id="34" xr3:uid="{E2C31944-2BFA-43DD-86E1-65C0F153EA96}" uniqueName="34" name="OData__UIVersionString" queryTableFieldId="34"/>
    <tableColumn id="35" xr3:uid="{1462A1CB-6027-4071-B9DA-373D4A462095}" uniqueName="35" name="Attachments" queryTableFieldId="35"/>
    <tableColumn id="36" xr3:uid="{B55FB8FF-62FF-4662-849D-582103511E9B}" uniqueName="36" name="GUID" queryTableFieldId="36"/>
    <tableColumn id="40" xr3:uid="{156C4D03-B974-A44B-AA6B-2B7473291C42}" uniqueName="40" name="FirstUniqueAncestorSecurableObject" queryTableFieldId="40"/>
    <tableColumn id="41" xr3:uid="{E85E5ABC-8D7A-3F49-865E-7F79E975F9F5}" uniqueName="41" name="RoleAssignments" queryTableFieldId="41"/>
    <tableColumn id="42" xr3:uid="{2D8B615C-80F9-9B44-AF5A-70B6DDA90058}" uniqueName="42" name="AttachmentFiles" queryTableFieldId="42"/>
    <tableColumn id="43" xr3:uid="{2D24DD49-5A39-7442-B931-61EB9029605D}" uniqueName="43" name="ContentType" queryTableFieldId="43"/>
    <tableColumn id="44" xr3:uid="{831DA4D9-51A4-EB42-8768-B7C359F7E269}" uniqueName="44" name="GetDlpPolicyTip" queryTableFieldId="44"/>
    <tableColumn id="45" xr3:uid="{D1BC95EB-31D1-234A-A985-ED4E8C12D66B}" uniqueName="45" name="FieldValuesAsHtml" queryTableFieldId="45"/>
    <tableColumn id="46" xr3:uid="{690AF01F-92F2-1144-95DD-A66215276217}" uniqueName="46" name="FieldValuesAsText" queryTableFieldId="46"/>
    <tableColumn id="47" xr3:uid="{2C809858-68BF-A848-8601-162377072BE8}" uniqueName="47" name="FieldValuesForEdit" queryTableFieldId="47"/>
    <tableColumn id="48" xr3:uid="{F62FD810-F557-DF4E-A931-2EBC44A716F1}" uniqueName="48" name="File" queryTableFieldId="48"/>
    <tableColumn id="49" xr3:uid="{EAA8AB14-3DFE-6144-B0F2-41154C16F807}" uniqueName="49" name="Folder" queryTableFieldId="49"/>
    <tableColumn id="50" xr3:uid="{558CBA57-0D30-8A4B-BAF8-F776463626D1}" uniqueName="50" name="LikedByInformation" queryTableFieldId="50"/>
    <tableColumn id="51" xr3:uid="{57C25C20-31E5-2643-B94A-58C08DDE2C96}" uniqueName="51" name="ParentList" queryTableFieldId="51"/>
    <tableColumn id="52" xr3:uid="{51BF5243-A5D7-F446-ACD2-E69CAF6E8D22}" uniqueName="52" name="Properties" queryTableFieldId="52"/>
    <tableColumn id="53" xr3:uid="{C2E698A8-BAC1-3841-9DD7-84F00EA46A7B}" uniqueName="53" name="Versions" queryTableFieldId="53"/>
    <tableColumn id="54" xr3:uid="{00A8CAE8-DEB7-7C47-8540-67CF71780241}" uniqueName="54" name="Parent Work Item" queryTableFieldId="54"/>
    <tableColumn id="55" xr3:uid="{6F0F6DAE-6955-5D41-BD16-19C6B5A6A2AC}" uniqueName="55" name="AssignedTo0" queryTableFieldId="55"/>
    <tableColumn id="56" xr3:uid="{D3CE395A-9D52-9E44-8403-CD8BB43E0E0C}" uniqueName="56" name="KeyStakeholders" queryTableFieldId="56"/>
    <tableColumn id="57" xr3:uid="{AC72E60C-6ED1-214A-B60D-33D7303CBB4C}" uniqueName="57" name="Operational Action" queryTableFieldId="57"/>
    <tableColumn id="58" xr3:uid="{483E18FE-4F44-2242-B247-0CE32EB070CE}" uniqueName="58" name="Author" queryTableFieldId="58"/>
    <tableColumn id="59" xr3:uid="{7E87356D-D788-AB44-9247-293E1644AA72}" uniqueName="59" name="Editor" queryTableFieldId="59"/>
    <tableColumn id="37" xr3:uid="{F88A494A-8928-41FB-932B-5BECF7DCFF40}" uniqueName="37" name="Title2" queryTableFieldId="37"/>
    <tableColumn id="60" xr3:uid="{F30A3463-00D0-8E40-A83D-92BED28D9EAC}" uniqueName="60" name="District" queryTableFieldId="80"/>
    <tableColumn id="61" xr3:uid="{4C601ED3-B760-B940-A353-A67FC7264A5A}" uniqueName="61" name="Section" queryTableFieldId="81"/>
    <tableColumn id="38" xr3:uid="{289E1E93-A6D6-4156-A6D9-B42E78F8381A}" uniqueName="38" name="OperationalActionTitle" queryTableFieldId="38"/>
    <tableColumn id="39" xr3:uid="{74CDB280-5DF0-4190-A930-BB3A1F9343EA}" uniqueName="39" name="NewTitle" queryTableFieldId="3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1EE479-AFA0-42BE-91A8-DBE9E5D33F80}" name="SharePointTasks" displayName="SharePointTasks" ref="A2:AK299" tableType="queryTable" totalsRowShown="0">
  <autoFilter ref="A2:AK299" xr:uid="{6E9BFBFB-8A2B-4774-8EB2-97485B604DD9}"/>
  <sortState xmlns:xlrd2="http://schemas.microsoft.com/office/spreadsheetml/2017/richdata2" ref="A3:AK299">
    <sortCondition ref="K2:K299"/>
  </sortState>
  <tableColumns count="37">
    <tableColumn id="1" xr3:uid="{3411BD4B-EB5D-4234-85FA-DA35EE5AA285}" uniqueName="1" name="FileSystemObjectType" queryTableFieldId="1" dataDxfId="61" dataCellStyle="Normal 2"/>
    <tableColumn id="2" xr3:uid="{04CC45A4-2D17-4570-96E3-B8018B5E780D}" uniqueName="2" name="Id" queryTableFieldId="2" dataDxfId="60" dataCellStyle="Normal 2"/>
    <tableColumn id="3" xr3:uid="{1B45C777-B63C-4109-8CB6-46966EA479C1}" uniqueName="3" name="ServerRedirectedEmbedUri" queryTableFieldId="3" dataDxfId="59" dataCellStyle="Normal 2"/>
    <tableColumn id="4" xr3:uid="{DEC1279F-E158-43CE-85D8-6AA5600DC14B}" uniqueName="4" name="ServerRedirectedEmbedUrl" queryTableFieldId="4" dataDxfId="58" dataCellStyle="Normal 2"/>
    <tableColumn id="5" xr3:uid="{97F696A9-A1DC-442E-A61A-D42F9EFF4637}" uniqueName="5" name="Title" queryTableFieldId="5" dataDxfId="57" dataCellStyle="Normal 2"/>
    <tableColumn id="6" xr3:uid="{94070EDC-C3EF-4662-B96D-CAAAF8B36B66}" uniqueName="6" name="Description" queryTableFieldId="6" dataDxfId="56" dataCellStyle="Normal 2"/>
    <tableColumn id="7" xr3:uid="{B851FBFF-708E-4B72-AF81-18AA1E355E9B}" uniqueName="7" name="Priority" queryTableFieldId="7" dataDxfId="55" dataCellStyle="Normal 2"/>
    <tableColumn id="8" xr3:uid="{AFC7F5C6-0E2B-4313-BB29-A79A77633954}" uniqueName="8" name="Parent Work ItemId" queryTableFieldId="8" dataDxfId="54" dataCellStyle="Normal 2"/>
    <tableColumn id="9" xr3:uid="{F9B92906-78A1-4DA8-B8FE-91DC9F6172A8}" uniqueName="9" name="Category0" queryTableFieldId="9" dataDxfId="53" dataCellStyle="Normal 2"/>
    <tableColumn id="10" xr3:uid="{EDB76D5B-CEA6-4E05-BDC2-86D0243B17B9}" uniqueName="10" name="Progress" queryTableFieldId="10" dataDxfId="52" dataCellStyle="Normal 2"/>
    <tableColumn id="11" xr3:uid="{E67C51C6-3536-4FEE-A3B7-C5A110B8B9B5}" uniqueName="11" name="StartDate" queryTableFieldId="11" dataDxfId="51" dataCellStyle="Normal 2"/>
    <tableColumn id="12" xr3:uid="{5229D783-2416-4F69-8668-8256449E9220}" uniqueName="12" name="DueDate" queryTableFieldId="12" dataDxfId="50" dataCellStyle="Normal 2"/>
    <tableColumn id="13" xr3:uid="{CF96F974-2DED-43EC-845E-B3D9145B60DB}" uniqueName="13" name="AssignedTo0Id" queryTableFieldId="13" dataDxfId="49" dataCellStyle="Normal 2"/>
    <tableColumn id="14" xr3:uid="{3142844F-7117-49F9-88E2-C826AA85A155}" uniqueName="14" name="AssignedTo0StringId" queryTableFieldId="14" dataDxfId="48" dataCellStyle="Normal 2"/>
    <tableColumn id="15" xr3:uid="{ED8DA1BE-8373-4465-8640-10BEBCA01EE3}" uniqueName="15" name="Notes" queryTableFieldId="15" dataDxfId="47" dataCellStyle="Normal 2"/>
    <tableColumn id="16" xr3:uid="{2FB9F9D1-3AF2-496C-9242-D1379101B000}" uniqueName="16" name="KeyStakeholdersId" queryTableFieldId="16" dataDxfId="46" dataCellStyle="Normal 2"/>
    <tableColumn id="17" xr3:uid="{9D788FF3-D0D1-47C8-B300-C0157528C4C3}" uniqueName="17" name="KeyStakeholdersStringId" queryTableFieldId="17" dataDxfId="45" dataCellStyle="Normal 2"/>
    <tableColumn id="18" xr3:uid="{EF381F50-8408-47C8-9213-C28B310D73B6}" uniqueName="18" name="Location" queryTableFieldId="18" dataDxfId="44" dataCellStyle="Normal 2"/>
    <tableColumn id="19" xr3:uid="{5D87B939-3E50-4D13-9498-4485C30C2AE9}" uniqueName="19" name="Tags" queryTableFieldId="19" dataDxfId="43" dataCellStyle="Normal 2"/>
    <tableColumn id="20" xr3:uid="{1430BABF-FC93-42F8-A587-BB954C791836}" uniqueName="20" name="CalendarID" queryTableFieldId="20" dataDxfId="42" dataCellStyle="Normal 2"/>
    <tableColumn id="21" xr3:uid="{5A97F0F3-3C81-4FF7-BF9E-6B08FFFFAF26}" uniqueName="21" name="ContentTypeId" queryTableFieldId="21" dataDxfId="41" dataCellStyle="Normal 2"/>
    <tableColumn id="22" xr3:uid="{87C4B528-E6D9-4C6E-8DEC-CFBA2BF9DC1E}" uniqueName="22" name="OData__ColorTag" queryTableFieldId="22" dataDxfId="40" dataCellStyle="Normal 2"/>
    <tableColumn id="23" xr3:uid="{330ABB06-7262-4383-B0A2-C6CE4470F39B}" uniqueName="23" name="ComplianceAssetId" queryTableFieldId="23" dataDxfId="39" dataCellStyle="Normal 2"/>
    <tableColumn id="24" xr3:uid="{DE8A4AB1-36CB-4A91-8246-3F69A7DE3685}" uniqueName="24" name="Operational ActionId" queryTableFieldId="24" dataDxfId="38" dataCellStyle="Normal 2"/>
    <tableColumn id="25" xr3:uid="{29D4469B-E16F-4EEB-8371-BE89DA520E3E}" uniqueName="25" name="YPT Tag" queryTableFieldId="25" dataDxfId="37" dataCellStyle="Normal 2"/>
    <tableColumn id="26" xr3:uid="{30C70701-8820-47ED-8727-BB15E6CC29EA}" uniqueName="26" name="Responsible" queryTableFieldId="26" dataDxfId="36" dataCellStyle="Normal 2"/>
    <tableColumn id="27" xr3:uid="{326AD8AF-3527-45B2-AB91-29E1AA600EEC}" uniqueName="27" name="Change Category" queryTableFieldId="27" dataDxfId="35" dataCellStyle="Normal 2"/>
    <tableColumn id="28" xr3:uid="{06133127-F3DF-42D3-B4D2-3AF8D9F67489}" uniqueName="28" name="Milestone" queryTableFieldId="28" dataDxfId="34" dataCellStyle="Normal 2"/>
    <tableColumn id="29" xr3:uid="{2C494E06-3B19-4DAD-84AC-D556C1F78E11}" uniqueName="29" name="ID.1" queryTableFieldId="29" dataDxfId="33" dataCellStyle="Normal 2"/>
    <tableColumn id="30" xr3:uid="{AC87EF18-5850-4CD1-92C6-484D416E4DC7}" uniqueName="30" name="Modified" queryTableFieldId="30" dataDxfId="32" dataCellStyle="Normal 2"/>
    <tableColumn id="31" xr3:uid="{A09BF58E-4BD4-4DC0-9D47-28E40B77417F}" uniqueName="31" name="Created" queryTableFieldId="31" dataDxfId="31" dataCellStyle="Normal 2"/>
    <tableColumn id="32" xr3:uid="{50FEF8C4-EAFE-4D74-9029-084CABA33B58}" uniqueName="32" name="AuthorId" queryTableFieldId="32" dataDxfId="30" dataCellStyle="Normal 2"/>
    <tableColumn id="33" xr3:uid="{CE4239C9-149A-4C8A-B041-AA7DBB81252C}" uniqueName="33" name="EditorId" queryTableFieldId="33" dataDxfId="29" dataCellStyle="Normal 2"/>
    <tableColumn id="34" xr3:uid="{78BDE153-C0F6-4306-8BB7-365795526D9E}" uniqueName="34" name="OData__UIVersionString" queryTableFieldId="34" dataDxfId="28" dataCellStyle="Normal 2"/>
    <tableColumn id="35" xr3:uid="{020274D9-B4ED-45FB-B78F-988BC7A89247}" uniqueName="35" name="Attachments" queryTableFieldId="35" dataDxfId="27" dataCellStyle="Normal 2"/>
    <tableColumn id="36" xr3:uid="{3047A6A5-65AE-4996-8561-AE513014F2A7}" uniqueName="36" name="GUID" queryTableFieldId="36" dataDxfId="26" dataCellStyle="Normal 2"/>
    <tableColumn id="40" xr3:uid="{58ABCC11-1B0D-4B96-ABDC-6826FBA4FCE4}" uniqueName="40" name="Title2" queryTableFieldId="40" dataDxfId="25" dataCellStyle="Normal 2">
      <calculatedColumnFormula>IF(ISBLANK(SharePointTasks[[#This Row],[Operational ActionId]]), SharePointTasks[[#This Row],[Title]], SharePointTasks[[#This Row],[Title]] &amp; " (" &amp; VLOOKUP(SharePointTasks[[#This Row],[Operational ActionId]], Operational_Actions[], 6, FALSE) &amp; ")")</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8852BF2-8C25-40DC-BDE0-AD497FE7BAA9}" name="Operational_Actions" displayName="Operational_Actions" ref="A2:X14" tableType="queryTable" totalsRowShown="0">
  <autoFilter ref="A2:X14" xr:uid="{08852BF2-8C25-40DC-BDE0-AD497FE7BAA9}"/>
  <tableColumns count="24">
    <tableColumn id="2" xr3:uid="{118406A1-E50B-4DFE-8FD0-35777D7E6C93}" uniqueName="2" name="Id" queryTableFieldId="2"/>
    <tableColumn id="1" xr3:uid="{EA1F1F49-A0BB-444A-92A2-26376B04A122}" uniqueName="1" name="FileSystemObjectType" queryTableFieldId="1"/>
    <tableColumn id="3" xr3:uid="{05D70195-9241-4A86-A6B1-36C34EDD79E0}" uniqueName="3" name="ServerRedirectedEmbedUri" queryTableFieldId="3"/>
    <tableColumn id="4" xr3:uid="{C7AD3D53-7679-4861-B851-DF3B25802D78}" uniqueName="4" name="ServerRedirectedEmbedUrl" queryTableFieldId="4"/>
    <tableColumn id="5" xr3:uid="{3FA3C685-19CD-47FA-807D-0F8FAABAE330}" uniqueName="5" name="ContentTypeId" queryTableFieldId="5"/>
    <tableColumn id="6" xr3:uid="{7694CE69-3EFD-46C8-BE53-500188DD957F}" uniqueName="6" name="Title" queryTableFieldId="6"/>
    <tableColumn id="7" xr3:uid="{2803A9E2-7668-42E4-937A-3DF602B1D8D1}" uniqueName="7" name="OData__ColorTag" queryTableFieldId="7"/>
    <tableColumn id="8" xr3:uid="{B52F0E68-BC9E-45D2-807E-37CEF69319EF}" uniqueName="8" name="ComplianceAssetId" queryTableFieldId="8"/>
    <tableColumn id="9" xr3:uid="{E991C6CF-C2CE-4366-94FD-7B1CFC076D20}" uniqueName="9" name="Strategic AreaId" queryTableFieldId="9"/>
    <tableColumn id="10" xr3:uid="{59226158-B85E-4EF6-9345-6AB3DA20FB0D}" uniqueName="10" name="Impact" queryTableFieldId="10"/>
    <tableColumn id="11" xr3:uid="{C3CE10A2-8C0E-418B-89CE-0F813B897D28}" uniqueName="11" name="Description" queryTableFieldId="11"/>
    <tableColumn id="12" xr3:uid="{07E78060-540C-4688-8466-5EDBF6B6983B}" uniqueName="12" name="Progress" queryTableFieldId="12"/>
    <tableColumn id="13" xr3:uid="{BADC7812-0D7C-43F1-8C3F-72B6B3259FBE}" uniqueName="13" name="OwnerId" queryTableFieldId="13"/>
    <tableColumn id="14" xr3:uid="{2CDD0918-BA1C-4677-927E-579243EC55DB}" uniqueName="14" name="OwnerStringId" queryTableFieldId="14"/>
    <tableColumn id="15" xr3:uid="{B407EC7B-8286-4B87-A773-17A12884CE5A}" uniqueName="15" name="Strategic Area Text" queryTableFieldId="15"/>
    <tableColumn id="16" xr3:uid="{CC758CFE-CE8B-4205-BD85-178A3214E019}" uniqueName="16" name="Estimated Completion" queryTableFieldId="16" dataDxfId="24"/>
    <tableColumn id="17" xr3:uid="{4A3685CB-DA82-4958-9312-E6190FEA325A}" uniqueName="17" name="ID.1" queryTableFieldId="17"/>
    <tableColumn id="18" xr3:uid="{8CEE42AC-80AD-4FB3-93D7-3EA9A0645285}" uniqueName="18" name="Modified" queryTableFieldId="18" dataDxfId="23"/>
    <tableColumn id="19" xr3:uid="{259237F1-F3A9-4D79-8EAD-CA3682115850}" uniqueName="19" name="Created" queryTableFieldId="19" dataDxfId="22"/>
    <tableColumn id="20" xr3:uid="{68DB5A9A-A548-4665-B06C-BC5D364D1002}" uniqueName="20" name="AuthorId" queryTableFieldId="20"/>
    <tableColumn id="21" xr3:uid="{F875AF3F-AAFE-4811-8ED1-2EB7390655AB}" uniqueName="21" name="EditorId" queryTableFieldId="21"/>
    <tableColumn id="22" xr3:uid="{74DE25DD-E5FC-4FAF-A7AE-D4AA634F6603}" uniqueName="22" name="OData__UIVersionString" queryTableFieldId="22"/>
    <tableColumn id="23" xr3:uid="{0154B107-4B13-48D8-9E13-51DED08EED41}" uniqueName="23" name="Attachments" queryTableFieldId="23"/>
    <tableColumn id="24" xr3:uid="{F140C305-1361-438E-B1ED-EE0758770BB7}" uniqueName="24" name="GUID" queryTableFieldId="24"/>
  </tableColumns>
  <tableStyleInfo name="TableStyleMedium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5DF4348-D474-4CA3-AE08-B27E34B3FD19}" name="InfoDates_1" displayName="InfoDates_1" ref="A2:AM79" tableType="queryTable" totalsRowShown="0">
  <autoFilter ref="A2:AM79" xr:uid="{65DF4348-D474-4CA3-AE08-B27E34B3FD19}"/>
  <tableColumns count="39">
    <tableColumn id="1" xr3:uid="{BF16CE28-3612-45D8-96E5-CD8391FF46F8}" uniqueName="1" name="FileSystemObjectType" queryTableFieldId="1"/>
    <tableColumn id="2" xr3:uid="{2EDE4031-DB24-44CE-B4F3-74D252C0E858}" uniqueName="2" name="Id" queryTableFieldId="2"/>
    <tableColumn id="3" xr3:uid="{051FBD58-213C-4D85-A9C6-1474EAF2A0A8}" uniqueName="3" name="ServerRedirectedEmbedUri" queryTableFieldId="3"/>
    <tableColumn id="4" xr3:uid="{F9215AC5-B812-48EA-B517-68301C7F0A70}" uniqueName="4" name="ServerRedirectedEmbedUrl" queryTableFieldId="4"/>
    <tableColumn id="5" xr3:uid="{64280F52-C4D5-4046-BC20-C752575D028D}" uniqueName="5" name="Title" queryTableFieldId="5" dataDxfId="21"/>
    <tableColumn id="6" xr3:uid="{DF4F3DA9-528B-4318-B176-C24EBAF7D6B3}" uniqueName="6" name="Description" queryTableFieldId="6"/>
    <tableColumn id="7" xr3:uid="{26D45A68-7BCA-47A7-8EA1-7221D744466E}" uniqueName="7" name="Priority" queryTableFieldId="7"/>
    <tableColumn id="8" xr3:uid="{1118411E-2711-4220-81B8-64BD2C457BBA}" uniqueName="8" name="Parent Work ItemId" queryTableFieldId="8"/>
    <tableColumn id="9" xr3:uid="{1C863720-7AB0-413F-869D-CAE9AC46CF3E}" uniqueName="9" name="Category0" queryTableFieldId="9"/>
    <tableColumn id="10" xr3:uid="{AD014020-6628-4101-B897-90DDE2EF5F82}" uniqueName="10" name="Progress" queryTableFieldId="10"/>
    <tableColumn id="11" xr3:uid="{7D338A9C-792A-46DA-9CC2-616C52FA4739}" uniqueName="11" name="StartDate" queryTableFieldId="11" dataDxfId="20"/>
    <tableColumn id="12" xr3:uid="{C29635B8-DB85-4E28-AE3F-0FDC94C6723D}" uniqueName="12" name="DueDate" queryTableFieldId="12" dataDxfId="19"/>
    <tableColumn id="13" xr3:uid="{4F9D042F-B0BF-40F0-AE0E-F67ECFEC221F}" uniqueName="13" name="AssignedTo0Id" queryTableFieldId="13"/>
    <tableColumn id="14" xr3:uid="{A5D83BF6-4C2A-430E-8872-ED48C1C144AC}" uniqueName="14" name="AssignedTo0StringId" queryTableFieldId="14"/>
    <tableColumn id="15" xr3:uid="{B9ED3117-6F3A-4DE1-849D-C4EF9410D4F5}" uniqueName="15" name="Notes" queryTableFieldId="15"/>
    <tableColumn id="16" xr3:uid="{F2CA4219-C5FE-413C-9D3B-16824BCC8E3C}" uniqueName="16" name="KeyStakeholdersId" queryTableFieldId="16"/>
    <tableColumn id="17" xr3:uid="{683E603F-41AD-42E2-AD00-8F4A25CF81C4}" uniqueName="17" name="KeyStakeholdersStringId" queryTableFieldId="17"/>
    <tableColumn id="18" xr3:uid="{44D22688-0CB2-4BF5-B94E-7ECF090093DD}" uniqueName="18" name="Location" queryTableFieldId="18"/>
    <tableColumn id="19" xr3:uid="{7C871917-CB08-4E6A-9D18-24E4D6FB3F5D}" uniqueName="19" name="Tags" queryTableFieldId="19"/>
    <tableColumn id="20" xr3:uid="{A23C51A4-408C-45F3-9A1F-EB254C27130E}" uniqueName="20" name="CalendarID" queryTableFieldId="20"/>
    <tableColumn id="21" xr3:uid="{64990EF7-90B2-4E41-946B-8162930FFB8D}" uniqueName="21" name="ContentTypeId" queryTableFieldId="21"/>
    <tableColumn id="22" xr3:uid="{9CC59CB4-C96F-4218-9593-427F4FE85E68}" uniqueName="22" name="OData__ColorTag" queryTableFieldId="22"/>
    <tableColumn id="23" xr3:uid="{3F29A803-75C0-46DA-8C78-A2A8BB20443B}" uniqueName="23" name="ComplianceAssetId" queryTableFieldId="23"/>
    <tableColumn id="24" xr3:uid="{68D84C1A-4BB1-482F-A839-156D1DEC6DB3}" uniqueName="24" name="Operational ActionId" queryTableFieldId="24"/>
    <tableColumn id="25" xr3:uid="{1E1D43DA-2B0F-486E-8002-2D190F605A3D}" uniqueName="25" name="YPT Tag" queryTableFieldId="25"/>
    <tableColumn id="26" xr3:uid="{E91F0E85-860A-4CFA-9EFE-8D59BEF26397}" uniqueName="26" name="Responsible" queryTableFieldId="26"/>
    <tableColumn id="27" xr3:uid="{956D4B3A-9A41-455A-B7F0-750497DB1D78}" uniqueName="27" name="Change Category" queryTableFieldId="27" dataDxfId="18"/>
    <tableColumn id="28" xr3:uid="{FC46158A-0282-4F01-BC82-E0D556E5F578}" uniqueName="28" name="Milestone" queryTableFieldId="28"/>
    <tableColumn id="29" xr3:uid="{54A37AB8-8B45-4DA3-950C-457AC70FC0E1}" uniqueName="29" name="ID.1" queryTableFieldId="29"/>
    <tableColumn id="30" xr3:uid="{115A0D0F-9140-4D0A-A5EF-6A538B7D6F75}" uniqueName="30" name="Modified" queryTableFieldId="30"/>
    <tableColumn id="31" xr3:uid="{881DB359-1C0B-42F8-8E48-A98F6F92274D}" uniqueName="31" name="Created" queryTableFieldId="31"/>
    <tableColumn id="32" xr3:uid="{31638D31-34A3-4D56-BF6C-64241ADF0B81}" uniqueName="32" name="AuthorId" queryTableFieldId="32"/>
    <tableColumn id="33" xr3:uid="{F2F3BF65-866D-40E2-B481-C1EB9EC091EC}" uniqueName="33" name="EditorId" queryTableFieldId="33"/>
    <tableColumn id="34" xr3:uid="{C592CDD0-BFBA-4C3F-9A46-1AF418637C23}" uniqueName="34" name="OData__UIVersionString" queryTableFieldId="34"/>
    <tableColumn id="35" xr3:uid="{135A6E7A-E775-466F-8E44-CBB273C4479F}" uniqueName="35" name="Attachments" queryTableFieldId="35"/>
    <tableColumn id="36" xr3:uid="{A80F3E1E-D2F8-4EB7-AE86-A68681575F3E}" uniqueName="36" name="GUID" queryTableFieldId="36"/>
    <tableColumn id="37" xr3:uid="{8F0219D4-0E8B-40D2-BC46-77E8C04019F6}" uniqueName="37" name="Title2" queryTableFieldId="37"/>
    <tableColumn id="38" xr3:uid="{967260FC-9CEA-D947-97C7-0F2E0A879F5F}" uniqueName="38" name="District" queryTableFieldId="38"/>
    <tableColumn id="39" xr3:uid="{91E9A10C-49E1-6849-A811-A9A60D24464E}" uniqueName="39" name="Section" queryTableFieldId="39"/>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1F9B8-AFF6-4B3A-888F-EF4270091C53}">
  <sheetPr>
    <tabColor rgb="FF00B050"/>
    <pageSetUpPr fitToPage="1"/>
  </sheetPr>
  <dimension ref="B1:AP41"/>
  <sheetViews>
    <sheetView view="pageBreakPreview" zoomScale="60" zoomScaleNormal="113" workbookViewId="0">
      <selection activeCell="G25" sqref="G25"/>
    </sheetView>
  </sheetViews>
  <sheetFormatPr baseColWidth="10" defaultColWidth="9.1640625" defaultRowHeight="15" x14ac:dyDescent="0.2"/>
  <cols>
    <col min="1" max="1" width="4.5" style="40" customWidth="1"/>
    <col min="2" max="2" width="119" style="40" customWidth="1"/>
    <col min="3" max="16384" width="9.1640625" style="40"/>
  </cols>
  <sheetData>
    <row r="1" spans="2:42" s="24" customFormat="1" ht="51" customHeight="1" x14ac:dyDescent="0.2">
      <c r="B1" s="37" t="e" vm="1">
        <v>#VALUE!</v>
      </c>
      <c r="C1" s="29"/>
      <c r="D1" s="25"/>
      <c r="E1" s="25"/>
      <c r="F1" s="25"/>
      <c r="O1" s="26"/>
      <c r="Q1" s="27"/>
      <c r="S1" s="27"/>
      <c r="V1" s="28"/>
      <c r="W1" s="28"/>
      <c r="Z1" s="28"/>
      <c r="AF1" s="29"/>
      <c r="AG1" s="28"/>
      <c r="AK1" s="29"/>
      <c r="AO1" s="29"/>
      <c r="AP1" s="29"/>
    </row>
    <row r="4" spans="2:42" ht="24" x14ac:dyDescent="0.3">
      <c r="G4" s="42" t="s">
        <v>0</v>
      </c>
    </row>
    <row r="5" spans="2:42" x14ac:dyDescent="0.2">
      <c r="G5" s="56">
        <v>2026</v>
      </c>
      <c r="H5" s="56">
        <v>2027</v>
      </c>
      <c r="I5" s="56">
        <v>2028</v>
      </c>
      <c r="J5" s="56">
        <v>2029</v>
      </c>
    </row>
    <row r="6" spans="2:42" x14ac:dyDescent="0.2">
      <c r="G6" s="68">
        <f>COUNTIFS(Roadmap!$D:$D,"&lt;="&amp;DATE(2026,12,31),Roadmap!$E:$E,"&gt;="&amp;DATE(2026,1,1))</f>
        <v>302</v>
      </c>
      <c r="H6" s="68">
        <f>COUNTIFS(Roadmap!$D:$D,"&lt;="&amp;DATE(2027,12,31),Roadmap!$E:$E,"&gt;="&amp;DATE(2027,1,1))</f>
        <v>64</v>
      </c>
      <c r="I6" s="68">
        <f>COUNTIFS(Roadmap!$D:$D,"&lt;="&amp;DATE(2028,12,31),Roadmap!$E:$E,"&gt;="&amp;DATE(2028,1,1))</f>
        <v>7</v>
      </c>
      <c r="J6" s="68">
        <f>COUNTIFS(Roadmap!$D:$D,"&lt;="&amp;DATE(2029,12,31),Roadmap!$E:$E,"&gt;="&amp;DATE(2029,1,1))</f>
        <v>6</v>
      </c>
    </row>
    <row r="8" spans="2:42" ht="24" x14ac:dyDescent="0.3">
      <c r="B8" s="42" t="s">
        <v>1</v>
      </c>
      <c r="G8" s="42" t="s">
        <v>2</v>
      </c>
    </row>
    <row r="9" spans="2:42" ht="34.5" customHeight="1" x14ac:dyDescent="0.2">
      <c r="B9" s="45" t="s">
        <v>3</v>
      </c>
      <c r="G9" s="69" t="s">
        <v>4</v>
      </c>
      <c r="H9" s="70" t="s">
        <v>5</v>
      </c>
      <c r="I9" s="71" t="s">
        <v>6</v>
      </c>
      <c r="J9" s="72" t="s">
        <v>7</v>
      </c>
      <c r="K9" s="73" t="s">
        <v>4</v>
      </c>
    </row>
    <row r="10" spans="2:42" ht="32" x14ac:dyDescent="0.2">
      <c r="B10" s="41" t="s">
        <v>8</v>
      </c>
    </row>
    <row r="11" spans="2:42" x14ac:dyDescent="0.2">
      <c r="B11" s="41"/>
    </row>
    <row r="12" spans="2:42" ht="24" x14ac:dyDescent="0.3">
      <c r="B12" s="42" t="s">
        <v>9</v>
      </c>
    </row>
    <row r="13" spans="2:42" ht="18" customHeight="1" x14ac:dyDescent="0.2">
      <c r="B13" s="51" t="s">
        <v>10</v>
      </c>
    </row>
    <row r="14" spans="2:42" ht="18" customHeight="1" x14ac:dyDescent="0.2">
      <c r="B14" s="51" t="s">
        <v>11</v>
      </c>
    </row>
    <row r="15" spans="2:42" ht="32" x14ac:dyDescent="0.2">
      <c r="B15" s="52" t="s">
        <v>12</v>
      </c>
    </row>
    <row r="16" spans="2:42" ht="18" customHeight="1" x14ac:dyDescent="0.2">
      <c r="B16" s="51" t="s">
        <v>13</v>
      </c>
    </row>
    <row r="17" spans="2:2" ht="18" customHeight="1" x14ac:dyDescent="0.2"/>
    <row r="18" spans="2:2" ht="24" x14ac:dyDescent="0.3">
      <c r="B18" s="42" t="s">
        <v>14</v>
      </c>
    </row>
    <row r="19" spans="2:2" ht="18" customHeight="1" x14ac:dyDescent="0.25">
      <c r="B19" s="53" t="s">
        <v>15</v>
      </c>
    </row>
    <row r="20" spans="2:2" ht="18" customHeight="1" x14ac:dyDescent="0.2">
      <c r="B20" s="51" t="s">
        <v>16</v>
      </c>
    </row>
    <row r="21" spans="2:2" ht="18" customHeight="1" x14ac:dyDescent="0.2">
      <c r="B21" s="51" t="s">
        <v>17</v>
      </c>
    </row>
    <row r="22" spans="2:2" ht="18" customHeight="1" x14ac:dyDescent="0.2">
      <c r="B22" s="43"/>
    </row>
    <row r="23" spans="2:2" ht="18" customHeight="1" x14ac:dyDescent="0.25">
      <c r="B23" s="53" t="s">
        <v>18</v>
      </c>
    </row>
    <row r="24" spans="2:2" ht="18" customHeight="1" x14ac:dyDescent="0.2">
      <c r="B24" s="43" t="s">
        <v>19</v>
      </c>
    </row>
    <row r="25" spans="2:2" ht="18" customHeight="1" x14ac:dyDescent="0.2">
      <c r="B25" s="43" t="s">
        <v>20</v>
      </c>
    </row>
    <row r="26" spans="2:2" ht="18" customHeight="1" x14ac:dyDescent="0.2">
      <c r="B26" s="43" t="s">
        <v>21</v>
      </c>
    </row>
    <row r="27" spans="2:2" ht="18" customHeight="1" x14ac:dyDescent="0.2">
      <c r="B27" s="44" t="s">
        <v>22</v>
      </c>
    </row>
    <row r="28" spans="2:2" ht="18" customHeight="1" x14ac:dyDescent="0.2"/>
    <row r="29" spans="2:2" ht="18" customHeight="1" x14ac:dyDescent="0.25">
      <c r="B29" s="53" t="s">
        <v>23</v>
      </c>
    </row>
    <row r="30" spans="2:2" ht="18" customHeight="1" x14ac:dyDescent="0.2">
      <c r="B30" s="47" t="s">
        <v>24</v>
      </c>
    </row>
    <row r="31" spans="2:2" ht="18" customHeight="1" x14ac:dyDescent="0.2">
      <c r="B31" s="47" t="s">
        <v>25</v>
      </c>
    </row>
    <row r="32" spans="2:2" x14ac:dyDescent="0.2">
      <c r="B32" s="49" t="s">
        <v>26</v>
      </c>
    </row>
    <row r="33" spans="2:2" ht="32" x14ac:dyDescent="0.2">
      <c r="B33" s="48" t="s">
        <v>27</v>
      </c>
    </row>
    <row r="34" spans="2:2" ht="32" x14ac:dyDescent="0.2">
      <c r="B34" s="48" t="s">
        <v>28</v>
      </c>
    </row>
    <row r="35" spans="2:2" ht="32" x14ac:dyDescent="0.2">
      <c r="B35" s="50" t="s">
        <v>29</v>
      </c>
    </row>
    <row r="37" spans="2:2" ht="24" x14ac:dyDescent="0.3">
      <c r="B37" s="42" t="s">
        <v>30</v>
      </c>
    </row>
    <row r="38" spans="2:2" ht="32" x14ac:dyDescent="0.2">
      <c r="B38" s="41" t="s">
        <v>31</v>
      </c>
    </row>
    <row r="39" spans="2:2" ht="100.5" customHeight="1" x14ac:dyDescent="0.2"/>
    <row r="40" spans="2:2" ht="32" x14ac:dyDescent="0.2">
      <c r="B40" s="41" t="s">
        <v>32</v>
      </c>
    </row>
    <row r="41" spans="2:2" ht="32" x14ac:dyDescent="0.2">
      <c r="B41" s="41" t="s">
        <v>33</v>
      </c>
    </row>
  </sheetData>
  <conditionalFormatting sqref="G6:J6">
    <cfRule type="expression" dxfId="17" priority="1">
      <formula>OR(type="T")</formula>
    </cfRule>
    <cfRule type="expression" dxfId="16" priority="2">
      <formula>OR(type="P")</formula>
    </cfRule>
  </conditionalFormatting>
  <pageMargins left="0.7" right="0.7" top="0.75" bottom="0.75" header="0.3" footer="0.3"/>
  <pageSetup paperSize="9" scale="54" orientation="landscape"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A6DD7-22AF-48EB-A0B0-3DAF13BB3D59}">
  <sheetPr>
    <tabColor rgb="FF8D1F2C"/>
    <pageSetUpPr fitToPage="1"/>
  </sheetPr>
  <dimension ref="A1:AR451"/>
  <sheetViews>
    <sheetView topLeftCell="B1" zoomScaleNormal="100" workbookViewId="0">
      <pane ySplit="5" topLeftCell="A349" activePane="bottomLeft" state="frozen"/>
      <selection activeCell="G25" sqref="G25"/>
      <selection pane="bottomLeft" activeCell="O302" sqref="O302"/>
    </sheetView>
  </sheetViews>
  <sheetFormatPr baseColWidth="10" defaultColWidth="8.83203125" defaultRowHeight="15" x14ac:dyDescent="0.2"/>
  <cols>
    <col min="1" max="1" width="6.1640625" style="3" hidden="1" customWidth="1"/>
    <col min="2" max="2" width="46.5" style="22" customWidth="1"/>
    <col min="3" max="3" width="20" style="22" customWidth="1"/>
    <col min="4" max="4" width="12.5" style="3" customWidth="1"/>
    <col min="5" max="5" width="12.5" style="4" customWidth="1"/>
    <col min="6" max="6" width="10" style="4" customWidth="1"/>
    <col min="7" max="7" width="21.5" style="4" customWidth="1"/>
    <col min="8" max="8" width="16.5" style="4" hidden="1" customWidth="1"/>
    <col min="9" max="21" width="5.5" style="5" customWidth="1"/>
    <col min="22" max="44" width="5.5" style="2" customWidth="1"/>
    <col min="45" max="45" width="3.5" style="2" customWidth="1"/>
    <col min="46" max="46" width="3" style="2" customWidth="1"/>
    <col min="47" max="16384" width="8.83203125" style="2"/>
  </cols>
  <sheetData>
    <row r="1" spans="1:44" s="24" customFormat="1" ht="38" customHeight="1" x14ac:dyDescent="0.2">
      <c r="B1" s="37" t="e" vm="1">
        <v>#VALUE!</v>
      </c>
      <c r="C1" s="74"/>
      <c r="D1" s="122" t="s">
        <v>34</v>
      </c>
      <c r="E1" s="122"/>
      <c r="F1" s="122"/>
      <c r="G1" s="122"/>
      <c r="H1" s="122"/>
      <c r="I1" s="122"/>
      <c r="J1" s="122"/>
      <c r="K1" s="122"/>
      <c r="L1" s="117" t="s">
        <v>35</v>
      </c>
      <c r="M1" s="118"/>
      <c r="N1" s="118"/>
      <c r="O1" s="122" t="s">
        <v>36</v>
      </c>
      <c r="P1" s="122"/>
      <c r="Q1" s="122"/>
      <c r="R1" s="119">
        <v>46023</v>
      </c>
      <c r="S1" s="120"/>
      <c r="T1" s="120"/>
      <c r="U1" s="121"/>
      <c r="V1" s="116"/>
      <c r="W1" s="116"/>
      <c r="X1" s="116"/>
      <c r="Y1" s="116"/>
      <c r="Z1" s="116"/>
      <c r="AA1" s="116"/>
      <c r="AB1" s="116"/>
      <c r="AC1" s="116"/>
      <c r="AD1" s="116"/>
      <c r="AE1" s="116"/>
      <c r="AF1" s="116"/>
      <c r="AG1" s="116"/>
      <c r="AH1" s="116"/>
      <c r="AI1" s="116"/>
      <c r="AJ1" s="116"/>
      <c r="AK1" s="116"/>
      <c r="AL1" s="116"/>
      <c r="AM1" s="116"/>
      <c r="AN1" s="116"/>
      <c r="AO1" s="116"/>
      <c r="AP1" s="116"/>
      <c r="AQ1" s="116"/>
      <c r="AR1" s="116"/>
    </row>
    <row r="2" spans="1:44" s="6" customFormat="1" ht="14" hidden="1" x14ac:dyDescent="0.2">
      <c r="A2" s="20"/>
      <c r="E2" s="13"/>
      <c r="F2" s="13"/>
      <c r="G2" s="13"/>
      <c r="H2" s="13"/>
      <c r="J2" s="35"/>
      <c r="K2" s="35"/>
      <c r="L2" s="35"/>
      <c r="N2" s="34"/>
      <c r="S2" s="14">
        <v>1</v>
      </c>
      <c r="T2" s="15"/>
      <c r="U2" s="15"/>
      <c r="V2" s="16"/>
      <c r="W2" s="16"/>
      <c r="X2" s="36"/>
      <c r="Y2" s="36"/>
      <c r="Z2" s="36"/>
      <c r="AA2" s="36"/>
      <c r="AB2" s="36"/>
      <c r="AE2" s="35"/>
      <c r="AG2" s="35"/>
      <c r="AH2" s="35"/>
      <c r="AI2" s="35"/>
    </row>
    <row r="3" spans="1:44" s="6" customFormat="1" ht="14" x14ac:dyDescent="0.2">
      <c r="A3" s="11"/>
      <c r="B3" s="12"/>
      <c r="C3" s="12"/>
      <c r="D3" s="17"/>
      <c r="E3" s="18"/>
      <c r="F3" s="18"/>
      <c r="G3" s="18"/>
      <c r="H3" s="18"/>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row>
    <row r="4" spans="1:44" s="54" customFormat="1" ht="9" customHeight="1" x14ac:dyDescent="0.2">
      <c r="B4" s="62"/>
      <c r="C4" s="65"/>
      <c r="D4" s="63"/>
      <c r="E4" s="63"/>
      <c r="F4" s="30" t="s">
        <v>37</v>
      </c>
      <c r="G4" s="30" t="s">
        <v>37</v>
      </c>
      <c r="H4" s="30" t="s">
        <v>37</v>
      </c>
      <c r="I4" s="113">
        <f>YEAR(month)</f>
        <v>2026</v>
      </c>
      <c r="J4" s="114"/>
      <c r="K4" s="114"/>
      <c r="L4" s="114"/>
      <c r="M4" s="114"/>
      <c r="N4" s="114"/>
      <c r="O4" s="114"/>
      <c r="P4" s="114"/>
      <c r="Q4" s="114"/>
      <c r="R4" s="114"/>
      <c r="S4" s="114"/>
      <c r="T4" s="115"/>
      <c r="U4" s="113">
        <f>YEAR(month)</f>
        <v>2027</v>
      </c>
      <c r="V4" s="114"/>
      <c r="W4" s="114"/>
      <c r="X4" s="114"/>
      <c r="Y4" s="114"/>
      <c r="Z4" s="114"/>
      <c r="AA4" s="114"/>
      <c r="AB4" s="114"/>
      <c r="AC4" s="114"/>
      <c r="AD4" s="114"/>
      <c r="AE4" s="114"/>
      <c r="AF4" s="115"/>
      <c r="AG4" s="113">
        <f>YEAR(month)</f>
        <v>2028</v>
      </c>
      <c r="AH4" s="114"/>
      <c r="AI4" s="114"/>
      <c r="AJ4" s="114"/>
      <c r="AK4" s="114"/>
      <c r="AL4" s="114"/>
      <c r="AM4" s="114"/>
      <c r="AN4" s="114"/>
      <c r="AO4" s="114"/>
      <c r="AP4" s="114"/>
      <c r="AQ4" s="114"/>
      <c r="AR4" s="115"/>
    </row>
    <row r="5" spans="1:44" s="55" customFormat="1" ht="24" customHeight="1" x14ac:dyDescent="0.2">
      <c r="A5" s="56"/>
      <c r="B5" s="57" t="s">
        <v>38</v>
      </c>
      <c r="C5" s="66" t="s">
        <v>39</v>
      </c>
      <c r="D5" s="58" t="s">
        <v>40</v>
      </c>
      <c r="E5" s="58" t="s">
        <v>41</v>
      </c>
      <c r="F5" s="59" t="s">
        <v>42</v>
      </c>
      <c r="G5" s="60" t="s">
        <v>43</v>
      </c>
      <c r="H5" s="60" t="s">
        <v>44</v>
      </c>
      <c r="I5" s="61">
        <f>DATE(YEAR(project_start_date)+(display_year-1),1,1)</f>
        <v>46023</v>
      </c>
      <c r="J5" s="61">
        <f>EDATE(I5,1)</f>
        <v>46054</v>
      </c>
      <c r="K5" s="61">
        <f t="shared" ref="K5:AR5" si="0">EDATE(J5,1)</f>
        <v>46082</v>
      </c>
      <c r="L5" s="61">
        <f t="shared" si="0"/>
        <v>46113</v>
      </c>
      <c r="M5" s="61">
        <f t="shared" si="0"/>
        <v>46143</v>
      </c>
      <c r="N5" s="61">
        <f t="shared" si="0"/>
        <v>46174</v>
      </c>
      <c r="O5" s="61">
        <f t="shared" si="0"/>
        <v>46204</v>
      </c>
      <c r="P5" s="61">
        <f t="shared" si="0"/>
        <v>46235</v>
      </c>
      <c r="Q5" s="61">
        <f t="shared" si="0"/>
        <v>46266</v>
      </c>
      <c r="R5" s="61">
        <f t="shared" si="0"/>
        <v>46296</v>
      </c>
      <c r="S5" s="61">
        <f t="shared" si="0"/>
        <v>46327</v>
      </c>
      <c r="T5" s="61">
        <f t="shared" si="0"/>
        <v>46357</v>
      </c>
      <c r="U5" s="61">
        <f t="shared" si="0"/>
        <v>46388</v>
      </c>
      <c r="V5" s="61">
        <f t="shared" si="0"/>
        <v>46419</v>
      </c>
      <c r="W5" s="61">
        <f t="shared" si="0"/>
        <v>46447</v>
      </c>
      <c r="X5" s="61">
        <f t="shared" si="0"/>
        <v>46478</v>
      </c>
      <c r="Y5" s="61">
        <f t="shared" si="0"/>
        <v>46508</v>
      </c>
      <c r="Z5" s="61">
        <f t="shared" si="0"/>
        <v>46539</v>
      </c>
      <c r="AA5" s="61">
        <f t="shared" si="0"/>
        <v>46569</v>
      </c>
      <c r="AB5" s="61">
        <f t="shared" si="0"/>
        <v>46600</v>
      </c>
      <c r="AC5" s="61">
        <f t="shared" si="0"/>
        <v>46631</v>
      </c>
      <c r="AD5" s="61">
        <f t="shared" si="0"/>
        <v>46661</v>
      </c>
      <c r="AE5" s="61">
        <f t="shared" si="0"/>
        <v>46692</v>
      </c>
      <c r="AF5" s="61">
        <f t="shared" si="0"/>
        <v>46722</v>
      </c>
      <c r="AG5" s="61">
        <f t="shared" si="0"/>
        <v>46753</v>
      </c>
      <c r="AH5" s="61">
        <f t="shared" si="0"/>
        <v>46784</v>
      </c>
      <c r="AI5" s="61">
        <f t="shared" si="0"/>
        <v>46813</v>
      </c>
      <c r="AJ5" s="61">
        <f t="shared" si="0"/>
        <v>46844</v>
      </c>
      <c r="AK5" s="61">
        <f t="shared" si="0"/>
        <v>46874</v>
      </c>
      <c r="AL5" s="61">
        <f t="shared" si="0"/>
        <v>46905</v>
      </c>
      <c r="AM5" s="61">
        <f t="shared" si="0"/>
        <v>46935</v>
      </c>
      <c r="AN5" s="61">
        <f t="shared" si="0"/>
        <v>46966</v>
      </c>
      <c r="AO5" s="61">
        <f t="shared" si="0"/>
        <v>46997</v>
      </c>
      <c r="AP5" s="61">
        <f t="shared" si="0"/>
        <v>47027</v>
      </c>
      <c r="AQ5" s="61">
        <f t="shared" si="0"/>
        <v>47058</v>
      </c>
      <c r="AR5" s="61">
        <f t="shared" si="0"/>
        <v>47088</v>
      </c>
    </row>
    <row r="6" spans="1:44" s="6" customFormat="1" ht="18" customHeight="1" x14ac:dyDescent="0.2">
      <c r="A6" s="7">
        <v>1</v>
      </c>
      <c r="B6" s="8" t="str" cm="1">
        <f t="array" ref="B6:B379">_xlfn.SORTBY(_xlfn._xlws.FILTER(AllDates[NewTitle], AllDates[Change Category]&lt;&gt;"Reference Date", ""), _xlfn.SWITCH($L$1, "Start Date", _xlfn._xlws.FILTER(AllDates[StartDate], AllDates[Change Category]&lt;&gt;"Reference Date", ""), "Task Name", _xlfn._xlws.FILTER(AllDates[NewTitle], AllDates[Change Category]&lt;&gt;"Reference Date", ""), "Category", _xlfn._xlws.FILTER(AllDates[Change Category], AllDates[Change Category]&lt;&gt;"Reference Date", ""), _xlfn._xlws.FILTER(AllDates[StartDate], AllDates[Change Category]&lt;&gt;"Reference Date", "")), 1)</f>
        <v>Vertical - Abseiling Natural SP (Wide Bay)</v>
      </c>
      <c r="C6" s="67" t="str" cm="1">
        <f t="array" ref="C6:C379">_xlfn.SORTBY(
    IF(
        _xlfn._xlws.FILTER(AllDates[OperationalActionTitle], AllDates[Change Category]&lt;&gt;"Reference Date", "")=0,
        "",
        _xlfn._xlws.FILTER(AllDates[OperationalActionTitle], AllDates[Change Category]&lt;&gt;"Reference Date", "")
    ),
    _xlfn.SWITCH(
        $L$1,
        "Start Date", _xlfn._xlws.FILTER(AllDates[StartDate], AllDates[Change Category]&lt;&gt;"Reference Date", ""),
        "Task Name", _xlfn._xlws.FILTER(AllDates[NewTitle], AllDates[Change Category]&lt;&gt;"Reference Date", ""),
        "Category", _xlfn._xlws.FILTER(AllDates[Change Category], AllDates[Change Category]&lt;&gt;"Reference Date", ""),
        _xlfn._xlws.FILTER(AllDates[StartDate], AllDates[Change Category]&lt;&gt;"Reference Date", "")
    ),
    1
)</f>
        <v/>
      </c>
      <c r="D6" s="9" cm="1">
        <f t="array" ref="D6:D379">_xlfn.SORTBY(_xlfn._xlws.FILTER(AllDates[StartDate], AllDates[Change Category]&lt;&gt;"Reference Date", ""), _xlfn.SWITCH($L$1, "Start Date", _xlfn._xlws.FILTER(AllDates[StartDate], AllDates[Change Category]&lt;&gt;"Reference Date", ""), "Task Name", _xlfn._xlws.FILTER(AllDates[NewTitle], AllDates[Change Category]&lt;&gt;"Reference Date", ""), "Category", _xlfn._xlws.FILTER(AllDates[Change Category], AllDates[Change Category]&lt;&gt;"Reference Date", ""), _xlfn._xlws.FILTER(AllDates[StartDate], AllDates[Change Category]&lt;&gt;"Reference Date", "")), 1)</f>
        <v>46023</v>
      </c>
      <c r="E6" s="9" cm="1">
        <f t="array" ref="E6:E379">_xlfn.SORTBY(_xlfn._xlws.FILTER(AllDates[DueDate], AllDates[Change Category]&lt;&gt;"Reference Date", ""), _xlfn.SWITCH($L$1, "Start Date", _xlfn._xlws.FILTER(AllDates[StartDate], AllDates[Change Category]&lt;&gt;"Reference Date", ""), "Task Name", _xlfn._xlws.FILTER(AllDates[NewTitle], AllDates[Change Category]&lt;&gt;"Reference Date", ""), "Category", _xlfn._xlws.FILTER(AllDates[Change Category], AllDates[Change Category]&lt;&gt;"Reference Date", ""), _xlfn._xlws.FILTER(AllDates[StartDate], AllDates[Change Category]&lt;&gt;"Reference Date", "")), 1)</f>
        <v>46023</v>
      </c>
      <c r="F6" s="11">
        <f t="shared" ref="F6" si="1">IF(OR(ISBLANK(start_date),ISBLANK(end_date)),"",1+ROUND(((EOMONTH(end_date,0)-EOMONTH(start_date,0))/30),0))</f>
        <v>1</v>
      </c>
      <c r="G6" s="23" t="str" cm="1">
        <f t="array" ref="G6:G379">_xlfn.SORTBY(_xlfn._xlws.FILTER(AllDates[Change Category], AllDates[Change Category]&lt;&gt;"Reference Date", ""), _xlfn.SWITCH($L$1, "Start Date", _xlfn._xlws.FILTER(AllDates[StartDate], AllDates[Change Category]&lt;&gt;"Reference Date", ""), "Task Name", _xlfn._xlws.FILTER(AllDates[NewTitle], AllDates[Change Category]&lt;&gt;"Reference Date", ""), "Category", _xlfn._xlws.FILTER(AllDates[Change Category], AllDates[Change Category]&lt;&gt;"Reference Date", ""), _xlfn._xlws.FILTER(AllDates[StartDate], AllDates[Change Category]&lt;&gt;"Reference Date", "")), 1)</f>
        <v>Branch Calendar Event</v>
      </c>
      <c r="H6" s="23" t="str" cm="1">
        <f t="array" ref="H6:H379">_xlfn.SORTBY(_xlfn._xlws.FILTER(AllDates[Tags], AllDates[Change Category]&lt;&gt;"Reference Date", ""), _xlfn.SWITCH($L$1, "Start Date", _xlfn._xlws.FILTER(AllDates[StartDate], AllDates[Change Category]&lt;&gt;"Reference Date", ""), "Task Name", _xlfn._xlws.FILTER(AllDates[NewTitle], AllDates[Change Category]&lt;&gt;"Reference Date", ""), "Category", _xlfn._xlws.FILTER(AllDates[Change Category], AllDates[Change Category]&lt;&gt;"Reference Date", ""), _xlfn._xlws.FILTER(AllDates[StartDate], AllDates[Change Category]&lt;&gt;"Reference Date", "")), 1)</f>
        <v>Training - AA</v>
      </c>
      <c r="I6" s="11"/>
      <c r="J6" s="11"/>
      <c r="K6" s="11"/>
      <c r="L6" s="11"/>
      <c r="M6" s="11"/>
      <c r="N6" s="11"/>
      <c r="O6" s="11"/>
      <c r="P6" s="11"/>
      <c r="Q6" s="11"/>
      <c r="R6" s="11"/>
      <c r="S6" s="11"/>
      <c r="T6" s="11"/>
    </row>
    <row r="7" spans="1:44" s="6" customFormat="1" ht="18" customHeight="1" x14ac:dyDescent="0.2">
      <c r="A7" s="7">
        <v>2</v>
      </c>
      <c r="B7" s="8" t="str">
        <v>Basic Water Rescue (FNQ)</v>
      </c>
      <c r="C7" s="64" t="str">
        <v/>
      </c>
      <c r="D7" s="9">
        <v>46023</v>
      </c>
      <c r="E7" s="9">
        <v>46023</v>
      </c>
      <c r="F7" s="10">
        <f t="shared" ref="F7:F69" si="2">IF(OR(ISBLANK(start_date),ISBLANK(end_date)),"",1+ROUND(((EOMONTH(end_date,0)-EOMONTH(start_date,0))/30),0))</f>
        <v>1</v>
      </c>
      <c r="G7" s="11" t="str">
        <v>Branch Calendar Event</v>
      </c>
      <c r="H7" s="11">
        <v>0</v>
      </c>
      <c r="I7" s="11"/>
      <c r="J7" s="11"/>
      <c r="K7" s="11"/>
      <c r="L7" s="11"/>
      <c r="M7" s="11"/>
      <c r="N7" s="11"/>
      <c r="O7" s="11"/>
      <c r="P7" s="11"/>
      <c r="Q7" s="11"/>
      <c r="R7" s="11"/>
      <c r="S7" s="11"/>
      <c r="T7" s="11"/>
    </row>
    <row r="8" spans="1:44" s="6" customFormat="1" ht="18" customHeight="1" x14ac:dyDescent="0.2">
      <c r="A8" s="7">
        <v>3</v>
      </c>
      <c r="B8" s="8" t="str">
        <v>Scouting Essentials (Brisbane)</v>
      </c>
      <c r="C8" s="64" t="str">
        <v/>
      </c>
      <c r="D8" s="9">
        <v>46023</v>
      </c>
      <c r="E8" s="9">
        <v>46023</v>
      </c>
      <c r="F8" s="10">
        <f t="shared" si="2"/>
        <v>1</v>
      </c>
      <c r="G8" s="11" t="str">
        <v>Branch Calendar Event</v>
      </c>
      <c r="H8" s="11" t="str">
        <v>Training - AA</v>
      </c>
      <c r="I8" s="11"/>
      <c r="J8" s="11"/>
      <c r="K8" s="11"/>
      <c r="L8" s="11"/>
      <c r="M8" s="11"/>
      <c r="N8" s="11"/>
      <c r="O8" s="11"/>
      <c r="P8" s="11"/>
      <c r="Q8" s="11"/>
      <c r="R8" s="11"/>
      <c r="S8" s="11"/>
      <c r="T8" s="11"/>
    </row>
    <row r="9" spans="1:44" s="6" customFormat="1" ht="18" customHeight="1" x14ac:dyDescent="0.2">
      <c r="A9" s="7">
        <v>4</v>
      </c>
      <c r="B9" s="8" t="str">
        <v>Scouting Management - Group Leaders (Brisbane)</v>
      </c>
      <c r="C9" s="64" t="str">
        <v/>
      </c>
      <c r="D9" s="9">
        <v>46023</v>
      </c>
      <c r="E9" s="9">
        <v>46023</v>
      </c>
      <c r="F9" s="10">
        <f t="shared" si="2"/>
        <v>1</v>
      </c>
      <c r="G9" s="11" t="str">
        <v>Branch Calendar Event</v>
      </c>
      <c r="H9" s="11" t="str">
        <v>Training - AA</v>
      </c>
      <c r="I9" s="11"/>
      <c r="J9" s="11"/>
      <c r="K9" s="11"/>
      <c r="L9" s="11"/>
      <c r="M9" s="11"/>
      <c r="N9" s="11"/>
      <c r="O9" s="11"/>
      <c r="P9" s="11"/>
      <c r="Q9" s="11"/>
      <c r="R9" s="11"/>
      <c r="S9" s="11"/>
      <c r="T9" s="11"/>
    </row>
    <row r="10" spans="1:44" s="6" customFormat="1" ht="18" customHeight="1" x14ac:dyDescent="0.2">
      <c r="A10" s="7">
        <v>5</v>
      </c>
      <c r="B10" s="8" t="str">
        <v>Paddling - Kayak Inland Flatwater TP (Wide Bay)</v>
      </c>
      <c r="C10" s="64" t="str">
        <v/>
      </c>
      <c r="D10" s="9">
        <v>46024</v>
      </c>
      <c r="E10" s="9">
        <v>46024</v>
      </c>
      <c r="F10" s="10">
        <f t="shared" si="2"/>
        <v>1</v>
      </c>
      <c r="G10" s="11" t="str">
        <v>Branch Calendar Event</v>
      </c>
      <c r="H10" s="11" t="str">
        <v>Training - AA</v>
      </c>
      <c r="I10" s="11"/>
      <c r="J10" s="11"/>
      <c r="K10" s="11"/>
      <c r="L10" s="11"/>
      <c r="M10" s="11"/>
      <c r="N10" s="11"/>
      <c r="O10" s="11"/>
      <c r="P10" s="11"/>
      <c r="Q10" s="11"/>
      <c r="R10" s="11"/>
      <c r="S10" s="11"/>
      <c r="T10" s="11"/>
    </row>
    <row r="11" spans="1:44" s="6" customFormat="1" ht="18" customHeight="1" x14ac:dyDescent="0.2">
      <c r="A11" s="7">
        <v>6</v>
      </c>
      <c r="B11" s="8" t="str">
        <v>Paddling - SUP Inland Flatwater SP</v>
      </c>
      <c r="C11" s="64" t="str">
        <v/>
      </c>
      <c r="D11" s="9">
        <v>46024</v>
      </c>
      <c r="E11" s="9">
        <v>46024</v>
      </c>
      <c r="F11" s="10">
        <f t="shared" si="2"/>
        <v>1</v>
      </c>
      <c r="G11" s="11" t="str">
        <v>Branch Calendar Event</v>
      </c>
      <c r="H11" s="11" t="str">
        <v>Training - AA</v>
      </c>
      <c r="I11" s="11"/>
      <c r="J11" s="11"/>
      <c r="K11" s="11"/>
      <c r="L11" s="11"/>
      <c r="M11" s="11"/>
      <c r="N11" s="11"/>
      <c r="O11" s="11"/>
      <c r="P11" s="11"/>
      <c r="Q11" s="11"/>
      <c r="R11" s="11"/>
      <c r="S11" s="11"/>
      <c r="T11" s="11"/>
    </row>
    <row r="12" spans="1:44" s="6" customFormat="1" ht="18" customHeight="1" x14ac:dyDescent="0.2">
      <c r="A12" s="7">
        <v>7</v>
      </c>
      <c r="B12" s="8" t="str">
        <v>Cycling - On Road - SP/TP (Wide Bay)</v>
      </c>
      <c r="C12" s="64" t="str">
        <v/>
      </c>
      <c r="D12" s="9">
        <v>46029</v>
      </c>
      <c r="E12" s="9">
        <v>46029</v>
      </c>
      <c r="F12" s="10">
        <f t="shared" si="2"/>
        <v>1</v>
      </c>
      <c r="G12" s="11" t="str">
        <v>Branch Calendar Event</v>
      </c>
      <c r="H12" s="11" t="str">
        <v>Training - AA</v>
      </c>
      <c r="I12" s="11"/>
      <c r="J12" s="11"/>
      <c r="K12" s="11"/>
      <c r="L12" s="11"/>
      <c r="M12" s="11"/>
      <c r="N12" s="11"/>
      <c r="O12" s="11"/>
      <c r="P12" s="11"/>
      <c r="Q12" s="11"/>
      <c r="R12" s="11"/>
      <c r="S12" s="11"/>
      <c r="T12" s="11"/>
    </row>
    <row r="13" spans="1:44" s="6" customFormat="1" ht="18" customHeight="1" x14ac:dyDescent="0.2">
      <c r="A13" s="7">
        <v>8</v>
      </c>
      <c r="B13" s="8" t="str">
        <v>Cycling - On Road - SP/TP (Wide Bay)</v>
      </c>
      <c r="C13" s="64" t="str">
        <v/>
      </c>
      <c r="D13" s="9">
        <v>46029</v>
      </c>
      <c r="E13" s="9">
        <v>46029</v>
      </c>
      <c r="F13" s="10">
        <f t="shared" si="2"/>
        <v>1</v>
      </c>
      <c r="G13" s="11" t="str">
        <v>Branch Calendar Event</v>
      </c>
      <c r="H13" s="11" t="str">
        <v>Training - AA</v>
      </c>
      <c r="I13" s="11"/>
      <c r="J13" s="11"/>
      <c r="K13" s="11"/>
      <c r="L13" s="11"/>
      <c r="M13" s="11"/>
      <c r="N13" s="11"/>
      <c r="O13" s="11"/>
      <c r="P13" s="11"/>
      <c r="Q13" s="11"/>
      <c r="R13" s="11"/>
      <c r="S13" s="11"/>
      <c r="T13" s="11"/>
    </row>
    <row r="14" spans="1:44" s="6" customFormat="1" ht="18" customHeight="1" x14ac:dyDescent="0.2">
      <c r="A14" s="7">
        <v>9</v>
      </c>
      <c r="B14" s="8" t="str">
        <v>Queensland Branch Rover Council Meeting</v>
      </c>
      <c r="C14" s="64" t="str">
        <v/>
      </c>
      <c r="D14" s="9">
        <v>46039</v>
      </c>
      <c r="E14" s="9">
        <v>46039</v>
      </c>
      <c r="F14" s="10">
        <f t="shared" si="2"/>
        <v>1</v>
      </c>
      <c r="G14" s="11" t="str">
        <v>Branch Calendar Event</v>
      </c>
      <c r="H14" s="11" t="str">
        <v>Rover Scouts</v>
      </c>
      <c r="I14" s="11"/>
      <c r="J14" s="11"/>
      <c r="K14" s="11"/>
      <c r="L14" s="11"/>
      <c r="M14" s="11"/>
      <c r="N14" s="11"/>
      <c r="O14" s="11"/>
      <c r="P14" s="11"/>
      <c r="Q14" s="11"/>
      <c r="R14" s="11"/>
      <c r="S14" s="11"/>
      <c r="T14" s="11"/>
    </row>
    <row r="15" spans="1:44" s="6" customFormat="1" ht="18" customHeight="1" x14ac:dyDescent="0.2">
      <c r="A15" s="7">
        <v>10</v>
      </c>
      <c r="B15" s="8" t="str">
        <v>Branch Finance Committee</v>
      </c>
      <c r="C15" s="64" t="str">
        <v/>
      </c>
      <c r="D15" s="9">
        <v>46040</v>
      </c>
      <c r="E15" s="9">
        <v>46040</v>
      </c>
      <c r="F15" s="10">
        <f t="shared" si="2"/>
        <v>1</v>
      </c>
      <c r="G15" s="11" t="str">
        <v>Branch Calendar Event</v>
      </c>
      <c r="H15" s="11">
        <v>0</v>
      </c>
      <c r="I15" s="11"/>
      <c r="J15" s="11"/>
      <c r="K15" s="11"/>
      <c r="L15" s="11"/>
      <c r="M15" s="11"/>
      <c r="N15" s="11" t="s">
        <v>45</v>
      </c>
      <c r="O15" s="11"/>
      <c r="P15" s="11"/>
      <c r="Q15" s="11"/>
      <c r="R15" s="11"/>
      <c r="S15" s="11"/>
      <c r="T15" s="11"/>
    </row>
    <row r="16" spans="1:44" s="6" customFormat="1" ht="18" customHeight="1" x14ac:dyDescent="0.2">
      <c r="A16" s="7">
        <v>11</v>
      </c>
      <c r="B16" s="8" t="str">
        <v>Branch Joey Scout Council</v>
      </c>
      <c r="C16" s="64" t="str">
        <v/>
      </c>
      <c r="D16" s="9">
        <v>46042</v>
      </c>
      <c r="E16" s="9">
        <v>46042</v>
      </c>
      <c r="F16" s="10">
        <f t="shared" si="2"/>
        <v>1</v>
      </c>
      <c r="G16" s="11" t="str">
        <v>Branch Calendar Event</v>
      </c>
      <c r="H16" s="11" t="str">
        <v>Joey Scouts</v>
      </c>
      <c r="I16" s="11"/>
      <c r="J16" s="11"/>
      <c r="K16" s="11"/>
      <c r="L16" s="11"/>
      <c r="M16" s="11"/>
      <c r="N16" s="11"/>
      <c r="O16" s="11"/>
      <c r="P16" s="11"/>
      <c r="Q16" s="11"/>
      <c r="R16" s="11"/>
      <c r="S16" s="11"/>
      <c r="T16" s="11"/>
    </row>
    <row r="17" spans="1:20" s="6" customFormat="1" ht="18" customHeight="1" x14ac:dyDescent="0.2">
      <c r="A17" s="7">
        <v>12</v>
      </c>
      <c r="B17" s="8" t="str">
        <v>Australia Day</v>
      </c>
      <c r="C17" s="64" t="str">
        <v/>
      </c>
      <c r="D17" s="9">
        <v>46047</v>
      </c>
      <c r="E17" s="9">
        <v>46047</v>
      </c>
      <c r="F17" s="10">
        <f t="shared" si="2"/>
        <v>1</v>
      </c>
      <c r="G17" s="11" t="str">
        <v>Branch Calendar Event</v>
      </c>
      <c r="H17" s="11">
        <v>0</v>
      </c>
      <c r="I17" s="11"/>
      <c r="J17" s="11"/>
      <c r="K17" s="11"/>
      <c r="L17" s="11"/>
      <c r="M17" s="11"/>
      <c r="N17" s="11"/>
      <c r="O17" s="11"/>
      <c r="P17" s="11"/>
      <c r="Q17" s="11"/>
      <c r="R17" s="11"/>
      <c r="S17" s="11"/>
      <c r="T17" s="11"/>
    </row>
    <row r="18" spans="1:20" s="6" customFormat="1" ht="18" customHeight="1" x14ac:dyDescent="0.2">
      <c r="A18" s="7">
        <v>13</v>
      </c>
      <c r="B18" s="8" t="str">
        <v>Branch Executive Committee</v>
      </c>
      <c r="C18" s="64" t="str">
        <v/>
      </c>
      <c r="D18" s="9">
        <v>46048</v>
      </c>
      <c r="E18" s="9">
        <v>46048</v>
      </c>
      <c r="F18" s="10">
        <f t="shared" si="2"/>
        <v>1</v>
      </c>
      <c r="G18" s="11" t="str">
        <v>Branch Calendar Event</v>
      </c>
      <c r="H18" s="11">
        <v>0</v>
      </c>
      <c r="I18" s="11"/>
      <c r="J18" s="11"/>
      <c r="K18" s="11"/>
      <c r="L18" s="11"/>
      <c r="M18" s="11"/>
      <c r="N18" s="11"/>
      <c r="O18" s="11"/>
      <c r="P18" s="11"/>
      <c r="Q18" s="11"/>
      <c r="R18" s="11"/>
      <c r="S18" s="11"/>
      <c r="T18" s="11"/>
    </row>
    <row r="19" spans="1:20" s="6" customFormat="1" ht="18" customHeight="1" x14ac:dyDescent="0.2">
      <c r="A19" s="7">
        <v>14</v>
      </c>
      <c r="B19" s="8" t="str">
        <v>Cycling - Off Road - SP/TP (Brisbane)</v>
      </c>
      <c r="C19" s="64" t="str">
        <v/>
      </c>
      <c r="D19" s="9">
        <v>46057</v>
      </c>
      <c r="E19" s="9">
        <v>46057</v>
      </c>
      <c r="F19" s="10">
        <f t="shared" si="2"/>
        <v>1</v>
      </c>
      <c r="G19" s="11" t="str">
        <v>Branch Calendar Event</v>
      </c>
      <c r="H19" s="11" t="str">
        <v>Training - AA</v>
      </c>
      <c r="I19" s="11"/>
      <c r="J19" s="11"/>
      <c r="K19" s="11"/>
      <c r="L19" s="11"/>
      <c r="M19" s="11"/>
      <c r="N19" s="11"/>
      <c r="O19" s="11"/>
      <c r="P19" s="11"/>
      <c r="Q19" s="11"/>
      <c r="R19" s="11"/>
      <c r="S19" s="11"/>
      <c r="T19" s="11"/>
    </row>
    <row r="20" spans="1:20" s="6" customFormat="1" ht="18" customHeight="1" x14ac:dyDescent="0.2">
      <c r="A20" s="7">
        <v>15</v>
      </c>
      <c r="B20" s="8" t="str">
        <v>Scouting Leadership (Online)</v>
      </c>
      <c r="C20" s="64" t="str">
        <v/>
      </c>
      <c r="D20" s="9">
        <v>46058</v>
      </c>
      <c r="E20" s="9">
        <v>46058</v>
      </c>
      <c r="F20" s="10">
        <f t="shared" si="2"/>
        <v>1</v>
      </c>
      <c r="G20" s="11" t="str">
        <v>Branch Calendar Event</v>
      </c>
      <c r="H20" s="11" t="str">
        <v>Training - AA</v>
      </c>
      <c r="I20" s="11"/>
      <c r="J20" s="11"/>
      <c r="K20" s="11"/>
      <c r="L20" s="11"/>
      <c r="M20" s="11"/>
      <c r="N20" s="11"/>
      <c r="O20" s="11"/>
      <c r="P20" s="11"/>
      <c r="Q20" s="11"/>
      <c r="R20" s="11"/>
      <c r="S20" s="11"/>
      <c r="T20" s="11"/>
    </row>
    <row r="21" spans="1:20" s="6" customFormat="1" ht="18" customHeight="1" x14ac:dyDescent="0.2">
      <c r="A21" s="7">
        <v>16</v>
      </c>
      <c r="B21" s="8" t="str">
        <v>Cycling - Off Road - SP/TP (Wide Bay)</v>
      </c>
      <c r="C21" s="64" t="str">
        <v/>
      </c>
      <c r="D21" s="9">
        <v>46060</v>
      </c>
      <c r="E21" s="9">
        <v>46060</v>
      </c>
      <c r="F21" s="10">
        <f t="shared" si="2"/>
        <v>1</v>
      </c>
      <c r="G21" s="11" t="str">
        <v>Branch Calendar Event</v>
      </c>
      <c r="H21" s="11" t="str">
        <v>Training - AA</v>
      </c>
      <c r="I21" s="11"/>
      <c r="J21" s="11"/>
      <c r="K21" s="11"/>
      <c r="L21" s="11"/>
      <c r="M21" s="11"/>
      <c r="N21" s="11"/>
      <c r="O21" s="11"/>
      <c r="P21" s="11"/>
      <c r="Q21" s="11"/>
      <c r="R21" s="11"/>
      <c r="S21" s="11"/>
      <c r="T21" s="11"/>
    </row>
    <row r="22" spans="1:20" s="6" customFormat="1" ht="18" customHeight="1" x14ac:dyDescent="0.2">
      <c r="A22" s="7">
        <v>17</v>
      </c>
      <c r="B22" s="8" t="str">
        <v>Cycling - Off Road - SP/TP (Wide Bay)</v>
      </c>
      <c r="C22" s="64" t="str">
        <v/>
      </c>
      <c r="D22" s="9">
        <v>46060</v>
      </c>
      <c r="E22" s="9">
        <v>46060</v>
      </c>
      <c r="F22" s="10">
        <f t="shared" si="2"/>
        <v>1</v>
      </c>
      <c r="G22" s="11" t="str">
        <v>Branch Calendar Event</v>
      </c>
      <c r="H22" s="11">
        <v>0</v>
      </c>
      <c r="I22" s="11"/>
      <c r="J22" s="11"/>
      <c r="K22" s="11"/>
      <c r="L22" s="11"/>
      <c r="M22" s="11"/>
      <c r="N22" s="11"/>
      <c r="O22" s="11"/>
      <c r="P22" s="11"/>
      <c r="Q22" s="11"/>
      <c r="R22" s="11"/>
      <c r="S22" s="11"/>
      <c r="T22" s="11"/>
    </row>
    <row r="23" spans="1:20" s="6" customFormat="1" ht="18" customHeight="1" x14ac:dyDescent="0.2">
      <c r="A23" s="7">
        <v>18</v>
      </c>
      <c r="B23" s="8" t="str">
        <v>Scouting Adventure (Brisbane)</v>
      </c>
      <c r="C23" s="64" t="str">
        <v/>
      </c>
      <c r="D23" s="9">
        <v>46062</v>
      </c>
      <c r="E23" s="9">
        <v>46121</v>
      </c>
      <c r="F23" s="10">
        <f t="shared" si="2"/>
        <v>3</v>
      </c>
      <c r="G23" s="11" t="str">
        <v>Branch Calendar Event</v>
      </c>
      <c r="H23" s="11" t="str">
        <v>Training - AA</v>
      </c>
      <c r="I23" s="11"/>
      <c r="J23" s="11"/>
      <c r="K23" s="11"/>
      <c r="L23" s="11"/>
      <c r="M23" s="11"/>
      <c r="N23" s="11"/>
      <c r="O23" s="11"/>
      <c r="P23" s="11"/>
      <c r="Q23" s="11"/>
      <c r="R23" s="11"/>
      <c r="S23" s="11"/>
      <c r="T23" s="11"/>
    </row>
    <row r="24" spans="1:20" s="6" customFormat="1" ht="18" customHeight="1" x14ac:dyDescent="0.2">
      <c r="A24" s="7">
        <v>19</v>
      </c>
      <c r="B24" s="8" t="str">
        <v>Scouting Essentials (Brisbane)</v>
      </c>
      <c r="C24" s="64" t="str">
        <v/>
      </c>
      <c r="D24" s="9">
        <v>46062</v>
      </c>
      <c r="E24" s="9">
        <v>46121</v>
      </c>
      <c r="F24" s="10">
        <f t="shared" si="2"/>
        <v>3</v>
      </c>
      <c r="G24" s="11" t="str">
        <v>Branch Calendar Event</v>
      </c>
      <c r="H24" s="11" t="str">
        <v>Training - AA</v>
      </c>
      <c r="I24" s="11"/>
      <c r="J24" s="11"/>
      <c r="K24" s="11"/>
      <c r="L24" s="11"/>
      <c r="M24" s="11"/>
      <c r="N24" s="11"/>
      <c r="O24" s="11"/>
      <c r="P24" s="11"/>
      <c r="Q24" s="11"/>
      <c r="R24" s="11"/>
      <c r="S24" s="11"/>
      <c r="T24" s="11"/>
    </row>
    <row r="25" spans="1:20" s="6" customFormat="1" ht="18" customHeight="1" x14ac:dyDescent="0.2">
      <c r="A25" s="7">
        <v>20</v>
      </c>
      <c r="B25" s="8" t="str">
        <v>Scouting Adventure (Brisbane)</v>
      </c>
      <c r="C25" s="64" t="str">
        <v/>
      </c>
      <c r="D25" s="9">
        <v>46062</v>
      </c>
      <c r="E25" s="9">
        <v>46121</v>
      </c>
      <c r="F25" s="10">
        <f t="shared" si="2"/>
        <v>3</v>
      </c>
      <c r="G25" s="11" t="str">
        <v>Branch Calendar Event</v>
      </c>
      <c r="H25" s="11">
        <v>0</v>
      </c>
      <c r="I25" s="11"/>
      <c r="J25" s="11"/>
      <c r="K25" s="11"/>
      <c r="L25" s="11"/>
      <c r="M25" s="11"/>
      <c r="N25" s="11"/>
      <c r="O25" s="11"/>
      <c r="P25" s="11"/>
      <c r="Q25" s="11"/>
      <c r="R25" s="11"/>
      <c r="S25" s="11"/>
      <c r="T25" s="11"/>
    </row>
    <row r="26" spans="1:20" s="6" customFormat="1" ht="18" customHeight="1" x14ac:dyDescent="0.2">
      <c r="A26" s="7">
        <v>21</v>
      </c>
      <c r="B26" s="8" t="str">
        <v>Scouting Essentials (Brisbane)</v>
      </c>
      <c r="C26" s="64" t="str">
        <v/>
      </c>
      <c r="D26" s="9">
        <v>46062</v>
      </c>
      <c r="E26" s="9">
        <v>46121</v>
      </c>
      <c r="F26" s="10">
        <f t="shared" si="2"/>
        <v>3</v>
      </c>
      <c r="G26" s="11" t="str">
        <v>Branch Calendar Event</v>
      </c>
      <c r="H26" s="11">
        <v>0</v>
      </c>
      <c r="I26" s="11"/>
      <c r="J26" s="11"/>
      <c r="K26" s="11"/>
      <c r="L26" s="11"/>
      <c r="M26" s="11"/>
      <c r="N26" s="11"/>
      <c r="O26" s="11"/>
      <c r="P26" s="11"/>
      <c r="Q26" s="11"/>
      <c r="R26" s="11"/>
      <c r="S26" s="11"/>
      <c r="T26" s="11"/>
    </row>
    <row r="27" spans="1:20" s="6" customFormat="1" ht="18" customHeight="1" x14ac:dyDescent="0.2">
      <c r="A27" s="7">
        <v>22</v>
      </c>
      <c r="B27" s="8" t="str">
        <v>Queensland Branch Rover Council Meeting</v>
      </c>
      <c r="C27" s="64" t="str">
        <v/>
      </c>
      <c r="D27" s="9">
        <v>46067</v>
      </c>
      <c r="E27" s="9">
        <v>46067</v>
      </c>
      <c r="F27" s="10">
        <f t="shared" si="2"/>
        <v>1</v>
      </c>
      <c r="G27" s="11" t="str">
        <v>Branch Calendar Event</v>
      </c>
      <c r="H27" s="11" t="str">
        <v>Rover Scouts</v>
      </c>
      <c r="I27" s="11"/>
      <c r="J27" s="11"/>
      <c r="K27" s="11"/>
      <c r="L27" s="11"/>
      <c r="M27" s="11"/>
      <c r="N27" s="11"/>
      <c r="O27" s="11"/>
      <c r="P27" s="11"/>
      <c r="Q27" s="11"/>
      <c r="R27" s="11"/>
      <c r="S27" s="11"/>
      <c r="T27" s="11"/>
    </row>
    <row r="28" spans="1:20" s="6" customFormat="1" ht="18" customHeight="1" x14ac:dyDescent="0.2">
      <c r="A28" s="7">
        <v>23</v>
      </c>
      <c r="B28" s="8" t="str">
        <v>Branch Finance Committee</v>
      </c>
      <c r="C28" s="64" t="str">
        <v/>
      </c>
      <c r="D28" s="9">
        <v>46068</v>
      </c>
      <c r="E28" s="9">
        <v>46068</v>
      </c>
      <c r="F28" s="10">
        <f t="shared" si="2"/>
        <v>1</v>
      </c>
      <c r="G28" s="11" t="str">
        <v>Branch Calendar Event</v>
      </c>
      <c r="H28" s="11">
        <v>0</v>
      </c>
      <c r="I28" s="11"/>
      <c r="J28" s="11"/>
      <c r="K28" s="11"/>
      <c r="L28" s="11"/>
      <c r="M28" s="11"/>
      <c r="N28" s="11"/>
      <c r="O28" s="11"/>
      <c r="P28" s="11"/>
      <c r="Q28" s="11"/>
      <c r="R28" s="11"/>
      <c r="S28" s="11"/>
      <c r="T28" s="11"/>
    </row>
    <row r="29" spans="1:20" s="6" customFormat="1" ht="18" customHeight="1" x14ac:dyDescent="0.2">
      <c r="A29" s="7">
        <v>24</v>
      </c>
      <c r="B29" s="8" t="str">
        <v>Branch Scout Section Council</v>
      </c>
      <c r="C29" s="64" t="str">
        <v/>
      </c>
      <c r="D29" s="9">
        <v>46068</v>
      </c>
      <c r="E29" s="9">
        <v>46068</v>
      </c>
      <c r="F29" s="10">
        <f t="shared" si="2"/>
        <v>1</v>
      </c>
      <c r="G29" s="11" t="str">
        <v>Branch Calendar Event</v>
      </c>
      <c r="H29" s="11">
        <v>0</v>
      </c>
      <c r="I29" s="11"/>
      <c r="J29" s="11"/>
      <c r="K29" s="11"/>
      <c r="L29" s="11"/>
      <c r="M29" s="11"/>
      <c r="N29" s="11"/>
      <c r="O29" s="11"/>
      <c r="P29" s="11"/>
      <c r="Q29" s="11"/>
      <c r="R29" s="11"/>
      <c r="S29" s="11"/>
      <c r="T29" s="11"/>
    </row>
    <row r="30" spans="1:20" s="6" customFormat="1" ht="18" customHeight="1" x14ac:dyDescent="0.2">
      <c r="A30" s="7">
        <v>25</v>
      </c>
      <c r="B30" s="8" t="str">
        <v>Branch Youth Venturer Scout Council</v>
      </c>
      <c r="C30" s="64" t="str">
        <v/>
      </c>
      <c r="D30" s="9">
        <v>46070</v>
      </c>
      <c r="E30" s="9">
        <v>46070</v>
      </c>
      <c r="F30" s="10">
        <f t="shared" si="2"/>
        <v>1</v>
      </c>
      <c r="G30" s="11" t="str">
        <v>Branch Calendar Event</v>
      </c>
      <c r="H30" s="11">
        <v>0</v>
      </c>
      <c r="I30" s="11"/>
      <c r="J30" s="11"/>
      <c r="K30" s="11"/>
      <c r="L30" s="11"/>
      <c r="M30" s="11"/>
      <c r="N30" s="11"/>
      <c r="O30" s="11"/>
      <c r="P30" s="11"/>
      <c r="Q30" s="11"/>
      <c r="R30" s="11"/>
      <c r="S30" s="11"/>
      <c r="T30" s="11"/>
    </row>
    <row r="31" spans="1:20" s="6" customFormat="1" ht="18" customHeight="1" x14ac:dyDescent="0.2">
      <c r="A31" s="7">
        <v>26</v>
      </c>
      <c r="B31" s="8" t="str">
        <v>Branch Joey Scout Council</v>
      </c>
      <c r="C31" s="64" t="str">
        <v/>
      </c>
      <c r="D31" s="9">
        <v>46070</v>
      </c>
      <c r="E31" s="9">
        <v>46070</v>
      </c>
      <c r="F31" s="10">
        <f t="shared" si="2"/>
        <v>1</v>
      </c>
      <c r="G31" s="11" t="str">
        <v>Branch Calendar Event</v>
      </c>
      <c r="H31" s="11" t="str">
        <v>Joey Scouts</v>
      </c>
      <c r="I31" s="11"/>
      <c r="J31" s="11"/>
      <c r="K31" s="11"/>
      <c r="L31" s="11"/>
      <c r="M31" s="11"/>
      <c r="N31" s="11"/>
      <c r="O31" s="11"/>
      <c r="P31" s="11"/>
      <c r="Q31" s="11"/>
      <c r="R31" s="11"/>
      <c r="S31" s="11"/>
      <c r="T31" s="11"/>
    </row>
    <row r="32" spans="1:20" s="6" customFormat="1" ht="18" customHeight="1" x14ac:dyDescent="0.2">
      <c r="A32" s="7">
        <v>27</v>
      </c>
      <c r="B32" s="8" t="str">
        <v>Branch Cub Scout Section Team Meeting</v>
      </c>
      <c r="C32" s="64" t="str">
        <v/>
      </c>
      <c r="D32" s="9">
        <v>46071</v>
      </c>
      <c r="E32" s="9">
        <v>46071</v>
      </c>
      <c r="F32" s="10">
        <f t="shared" si="2"/>
        <v>1</v>
      </c>
      <c r="G32" s="11" t="str">
        <v>Branch Calendar Event</v>
      </c>
      <c r="H32" s="11">
        <v>0</v>
      </c>
      <c r="I32" s="11"/>
      <c r="J32" s="11"/>
      <c r="K32" s="11"/>
      <c r="L32" s="11"/>
      <c r="M32" s="11"/>
      <c r="N32" s="11"/>
      <c r="O32" s="11"/>
      <c r="P32" s="11"/>
      <c r="Q32" s="11"/>
      <c r="R32" s="11"/>
      <c r="S32" s="11"/>
      <c r="T32" s="11"/>
    </row>
    <row r="33" spans="1:20" s="6" customFormat="1" ht="18" customHeight="1" x14ac:dyDescent="0.2">
      <c r="A33" s="7">
        <v>28</v>
      </c>
      <c r="B33" s="8" t="str">
        <v>Founder's Day Dinner</v>
      </c>
      <c r="C33" s="64" t="str">
        <v/>
      </c>
      <c r="D33" s="9">
        <v>46072</v>
      </c>
      <c r="E33" s="9">
        <v>46072</v>
      </c>
      <c r="F33" s="10">
        <f t="shared" si="2"/>
        <v>1</v>
      </c>
      <c r="G33" s="11" t="str">
        <v>Branch Calendar Event</v>
      </c>
      <c r="H33" s="11">
        <v>0</v>
      </c>
      <c r="I33" s="11"/>
      <c r="J33" s="11"/>
      <c r="K33" s="11"/>
      <c r="L33" s="11"/>
      <c r="M33" s="11"/>
      <c r="N33" s="11"/>
      <c r="O33" s="11"/>
      <c r="P33" s="11"/>
      <c r="Q33" s="11"/>
      <c r="R33" s="11"/>
      <c r="S33" s="11"/>
      <c r="T33" s="11"/>
    </row>
    <row r="34" spans="1:20" s="6" customFormat="1" ht="18" customHeight="1" x14ac:dyDescent="0.2">
      <c r="A34" s="7">
        <v>29</v>
      </c>
      <c r="B34" s="8" t="str">
        <v>Scouting Adventure (Ipswich)</v>
      </c>
      <c r="C34" s="64" t="str">
        <v/>
      </c>
      <c r="D34" s="9">
        <v>46072</v>
      </c>
      <c r="E34" s="9">
        <v>46074</v>
      </c>
      <c r="F34" s="10">
        <f t="shared" si="2"/>
        <v>1</v>
      </c>
      <c r="G34" s="11" t="str">
        <v>Branch Calendar Event</v>
      </c>
      <c r="H34" s="11" t="str">
        <v>Training - AA</v>
      </c>
      <c r="I34" s="11"/>
      <c r="J34" s="11"/>
      <c r="K34" s="11"/>
      <c r="L34" s="11"/>
      <c r="M34" s="11"/>
      <c r="N34" s="11"/>
      <c r="O34" s="11"/>
      <c r="P34" s="11"/>
      <c r="Q34" s="11"/>
      <c r="R34" s="11"/>
      <c r="S34" s="11"/>
      <c r="T34" s="11"/>
    </row>
    <row r="35" spans="1:20" s="6" customFormat="1" ht="18" customHeight="1" x14ac:dyDescent="0.2">
      <c r="A35" s="7">
        <v>30</v>
      </c>
      <c r="B35" s="8" t="str">
        <v>Scouting Adventure (Ipswich)</v>
      </c>
      <c r="C35" s="64" t="str">
        <v/>
      </c>
      <c r="D35" s="9">
        <v>46072</v>
      </c>
      <c r="E35" s="9">
        <v>46074</v>
      </c>
      <c r="F35" s="10">
        <f t="shared" si="2"/>
        <v>1</v>
      </c>
      <c r="G35" s="11" t="str">
        <v>Branch Calendar Event</v>
      </c>
      <c r="H35" s="11" t="str">
        <v>Training - AA</v>
      </c>
      <c r="I35" s="11"/>
      <c r="J35" s="11"/>
      <c r="K35" s="11"/>
      <c r="L35" s="11"/>
      <c r="M35" s="11"/>
      <c r="N35" s="11"/>
      <c r="O35" s="11"/>
      <c r="P35" s="11"/>
      <c r="Q35" s="11"/>
      <c r="R35" s="11"/>
      <c r="S35" s="11"/>
      <c r="T35" s="11"/>
    </row>
    <row r="36" spans="1:20" s="6" customFormat="1" ht="18" customHeight="1" x14ac:dyDescent="0.2">
      <c r="A36" s="7">
        <v>31</v>
      </c>
      <c r="B36" s="8" t="str">
        <v>Synchronised Cub Scout Camp (local groups)</v>
      </c>
      <c r="C36" s="64" t="str">
        <v/>
      </c>
      <c r="D36" s="9">
        <v>46072</v>
      </c>
      <c r="E36" s="9">
        <v>46074</v>
      </c>
      <c r="F36" s="10">
        <f t="shared" si="2"/>
        <v>1</v>
      </c>
      <c r="G36" s="11" t="str">
        <v>Branch Calendar Event</v>
      </c>
      <c r="H36" s="11">
        <v>0</v>
      </c>
      <c r="I36" s="11"/>
      <c r="J36" s="11"/>
      <c r="K36" s="11"/>
      <c r="L36" s="11"/>
      <c r="M36" s="11"/>
      <c r="N36" s="11"/>
      <c r="O36" s="11"/>
      <c r="P36" s="11"/>
      <c r="Q36" s="11"/>
      <c r="R36" s="11"/>
      <c r="S36" s="11"/>
      <c r="T36" s="11"/>
    </row>
    <row r="37" spans="1:20" s="6" customFormat="1" ht="18" customHeight="1" x14ac:dyDescent="0.2">
      <c r="A37" s="7">
        <v>32</v>
      </c>
      <c r="B37" s="8" t="str">
        <v>Paddling - SUP Inland Flatwater SP/TP</v>
      </c>
      <c r="C37" s="64" t="str">
        <v/>
      </c>
      <c r="D37" s="9">
        <v>46073</v>
      </c>
      <c r="E37" s="9">
        <v>46073</v>
      </c>
      <c r="F37" s="10">
        <f t="shared" si="2"/>
        <v>1</v>
      </c>
      <c r="G37" s="11" t="str">
        <v>Branch Calendar Event</v>
      </c>
      <c r="H37" s="11" t="str">
        <v>Training - AA</v>
      </c>
      <c r="I37" s="11"/>
      <c r="J37" s="11"/>
      <c r="K37" s="11"/>
      <c r="L37" s="11"/>
      <c r="M37" s="11"/>
      <c r="N37" s="11"/>
      <c r="O37" s="11"/>
      <c r="P37" s="11"/>
      <c r="Q37" s="11"/>
      <c r="R37" s="11"/>
      <c r="S37" s="11"/>
      <c r="T37" s="11"/>
    </row>
    <row r="38" spans="1:20" s="6" customFormat="1" ht="18" customHeight="1" x14ac:dyDescent="0.2">
      <c r="A38" s="7">
        <v>33</v>
      </c>
      <c r="B38" s="8" t="str">
        <v>Paddling - SUP Inland Flatwater SP/TP</v>
      </c>
      <c r="C38" s="64" t="str">
        <v/>
      </c>
      <c r="D38" s="9">
        <v>46073</v>
      </c>
      <c r="E38" s="9">
        <v>46073</v>
      </c>
      <c r="F38" s="10">
        <f t="shared" si="2"/>
        <v>1</v>
      </c>
      <c r="G38" s="11" t="str">
        <v>Branch Calendar Event</v>
      </c>
      <c r="H38" s="11" t="str">
        <v>Training - AA</v>
      </c>
      <c r="I38" s="11"/>
      <c r="J38" s="11"/>
      <c r="K38" s="11"/>
      <c r="L38" s="11"/>
      <c r="M38" s="11"/>
      <c r="N38" s="11"/>
      <c r="O38" s="11"/>
      <c r="P38" s="11"/>
      <c r="Q38" s="11"/>
      <c r="R38" s="11"/>
      <c r="S38" s="11"/>
      <c r="T38" s="11"/>
    </row>
    <row r="39" spans="1:20" s="6" customFormat="1" ht="18" customHeight="1" x14ac:dyDescent="0.2">
      <c r="A39" s="7">
        <v>34</v>
      </c>
      <c r="B39" s="8" t="str">
        <v>Founder's Day</v>
      </c>
      <c r="C39" s="64" t="str">
        <v/>
      </c>
      <c r="D39" s="9">
        <v>46074</v>
      </c>
      <c r="E39" s="9">
        <v>46074</v>
      </c>
      <c r="F39" s="10">
        <f t="shared" si="2"/>
        <v>1</v>
      </c>
      <c r="G39" s="11" t="str">
        <v>Branch Calendar Event</v>
      </c>
      <c r="H39" s="11">
        <v>0</v>
      </c>
      <c r="I39" s="11"/>
      <c r="J39" s="11"/>
      <c r="K39" s="11"/>
      <c r="L39" s="11"/>
      <c r="M39" s="11"/>
      <c r="N39" s="11"/>
      <c r="O39" s="11"/>
      <c r="P39" s="11"/>
      <c r="Q39" s="11"/>
      <c r="R39" s="11"/>
      <c r="S39" s="11"/>
      <c r="T39" s="11"/>
    </row>
    <row r="40" spans="1:20" s="6" customFormat="1" ht="18" customHeight="1" x14ac:dyDescent="0.2">
      <c r="A40" s="7">
        <v>35</v>
      </c>
      <c r="B40" s="8" t="str">
        <v>ARA Nominations Deadline</v>
      </c>
      <c r="C40" s="64" t="str">
        <v/>
      </c>
      <c r="D40" s="9">
        <v>46075</v>
      </c>
      <c r="E40" s="9">
        <v>46075</v>
      </c>
      <c r="F40" s="10">
        <f t="shared" si="2"/>
        <v>1</v>
      </c>
      <c r="G40" s="11" t="str">
        <v>Branch Calendar Event</v>
      </c>
      <c r="H40" s="11">
        <v>0</v>
      </c>
      <c r="I40" s="11"/>
      <c r="J40" s="11"/>
      <c r="K40" s="11"/>
      <c r="L40" s="11"/>
      <c r="M40" s="11"/>
      <c r="N40" s="11"/>
      <c r="O40" s="11"/>
      <c r="P40" s="11"/>
      <c r="Q40" s="11"/>
      <c r="R40" s="11"/>
      <c r="S40" s="11"/>
      <c r="T40" s="11"/>
    </row>
    <row r="41" spans="1:20" s="6" customFormat="1" ht="18" customHeight="1" x14ac:dyDescent="0.2">
      <c r="A41" s="7">
        <v>36</v>
      </c>
      <c r="B41" s="8" t="str">
        <v>Scouting Essentials (Online)</v>
      </c>
      <c r="C41" s="64" t="str">
        <v/>
      </c>
      <c r="D41" s="9">
        <v>46076</v>
      </c>
      <c r="E41" s="9">
        <v>46076</v>
      </c>
      <c r="F41" s="10">
        <f t="shared" si="2"/>
        <v>1</v>
      </c>
      <c r="G41" s="11" t="str">
        <v>Branch Calendar Event</v>
      </c>
      <c r="H41" s="11" t="str">
        <v>Training - AA</v>
      </c>
      <c r="I41" s="11"/>
      <c r="J41" s="11"/>
      <c r="K41" s="11"/>
      <c r="L41" s="11"/>
      <c r="M41" s="11"/>
      <c r="N41" s="11"/>
      <c r="O41" s="11"/>
      <c r="P41" s="11"/>
      <c r="Q41" s="11"/>
      <c r="R41" s="11"/>
      <c r="S41" s="11"/>
      <c r="T41" s="11"/>
    </row>
    <row r="42" spans="1:20" s="6" customFormat="1" ht="18" customHeight="1" x14ac:dyDescent="0.2">
      <c r="A42" s="7">
        <v>37</v>
      </c>
      <c r="B42" s="8" t="str">
        <v>Branch Executive Committee</v>
      </c>
      <c r="C42" s="64" t="str">
        <v/>
      </c>
      <c r="D42" s="9">
        <v>46076</v>
      </c>
      <c r="E42" s="9">
        <v>46076</v>
      </c>
      <c r="F42" s="10">
        <f t="shared" si="2"/>
        <v>1</v>
      </c>
      <c r="G42" s="11" t="str">
        <v>Branch Calendar Event</v>
      </c>
      <c r="H42" s="11">
        <v>0</v>
      </c>
      <c r="I42" s="11"/>
      <c r="J42" s="11"/>
      <c r="K42" s="11"/>
      <c r="L42" s="11"/>
      <c r="M42" s="11"/>
      <c r="N42" s="11"/>
      <c r="O42" s="11"/>
      <c r="P42" s="11"/>
      <c r="Q42" s="11"/>
      <c r="R42" s="11"/>
      <c r="S42" s="11"/>
      <c r="T42" s="11"/>
    </row>
    <row r="43" spans="1:20" s="6" customFormat="1" ht="18" customHeight="1" x14ac:dyDescent="0.2">
      <c r="A43" s="7">
        <v>38</v>
      </c>
      <c r="B43" s="8" t="str">
        <v>Scouting Essentials (Online)</v>
      </c>
      <c r="C43" s="64" t="str">
        <v/>
      </c>
      <c r="D43" s="9">
        <v>46076</v>
      </c>
      <c r="E43" s="9">
        <v>46076</v>
      </c>
      <c r="F43" s="10">
        <f t="shared" si="2"/>
        <v>1</v>
      </c>
      <c r="G43" s="11" t="str">
        <v>Branch Calendar Event</v>
      </c>
      <c r="H43" s="11" t="str">
        <v>Training: Wood Badge</v>
      </c>
      <c r="I43" s="11"/>
      <c r="J43" s="11"/>
      <c r="K43" s="11"/>
      <c r="L43" s="11"/>
      <c r="M43" s="11"/>
      <c r="N43" s="11"/>
      <c r="O43" s="11"/>
      <c r="P43" s="11"/>
      <c r="Q43" s="11"/>
      <c r="R43" s="11"/>
      <c r="S43" s="11"/>
      <c r="T43" s="11"/>
    </row>
    <row r="44" spans="1:20" s="6" customFormat="1" ht="18" customHeight="1" x14ac:dyDescent="0.2">
      <c r="A44" s="7">
        <v>39</v>
      </c>
      <c r="B44" s="8" t="str">
        <v>Scouting Essentials (Online)</v>
      </c>
      <c r="C44" s="64" t="str">
        <v/>
      </c>
      <c r="D44" s="9">
        <v>46076</v>
      </c>
      <c r="E44" s="9">
        <v>46076</v>
      </c>
      <c r="F44" s="10">
        <f t="shared" si="2"/>
        <v>1</v>
      </c>
      <c r="G44" s="11" t="str">
        <v>Branch Calendar Event</v>
      </c>
      <c r="H44" s="11" t="str">
        <v>Training - AA</v>
      </c>
      <c r="I44" s="11"/>
      <c r="J44" s="11"/>
      <c r="K44" s="11"/>
      <c r="L44" s="11"/>
      <c r="M44" s="11"/>
      <c r="N44" s="11"/>
      <c r="O44" s="11"/>
      <c r="P44" s="11"/>
      <c r="Q44" s="11"/>
      <c r="R44" s="11"/>
      <c r="S44" s="11"/>
      <c r="T44" s="11"/>
    </row>
    <row r="45" spans="1:20" s="6" customFormat="1" ht="18" customHeight="1" x14ac:dyDescent="0.2">
      <c r="A45" s="7">
        <v>40</v>
      </c>
      <c r="B45" s="8" t="str">
        <v>Queensland Rover Moot (Q Moot)</v>
      </c>
      <c r="C45" s="64" t="str">
        <v/>
      </c>
      <c r="D45" s="9">
        <v>46079</v>
      </c>
      <c r="E45" s="9">
        <v>46081</v>
      </c>
      <c r="F45" s="10">
        <f t="shared" si="2"/>
        <v>1</v>
      </c>
      <c r="G45" s="11" t="str">
        <v>Branch Calendar Event</v>
      </c>
      <c r="H45" s="11" t="str">
        <v>Rover Scouts</v>
      </c>
      <c r="I45" s="11"/>
      <c r="J45" s="11"/>
      <c r="K45" s="11"/>
      <c r="L45" s="11"/>
      <c r="M45" s="11"/>
      <c r="N45" s="11"/>
      <c r="O45" s="11"/>
      <c r="P45" s="11"/>
      <c r="Q45" s="11"/>
      <c r="R45" s="11"/>
      <c r="S45" s="11"/>
      <c r="T45" s="11"/>
    </row>
    <row r="46" spans="1:20" s="6" customFormat="1" ht="18" customHeight="1" x14ac:dyDescent="0.2">
      <c r="A46" s="7">
        <v>41</v>
      </c>
      <c r="B46" s="8" t="str">
        <v>Paddling - Canoe/Kayak Inland Flatwater SP</v>
      </c>
      <c r="C46" s="64" t="str">
        <v/>
      </c>
      <c r="D46" s="9">
        <v>46080</v>
      </c>
      <c r="E46" s="9">
        <v>46080</v>
      </c>
      <c r="F46" s="10">
        <f t="shared" si="2"/>
        <v>1</v>
      </c>
      <c r="G46" s="11" t="str">
        <v>Branch Calendar Event</v>
      </c>
      <c r="H46" s="11" t="str">
        <v>Training - AA</v>
      </c>
      <c r="I46" s="11"/>
      <c r="J46" s="11"/>
      <c r="K46" s="11"/>
      <c r="L46" s="11"/>
      <c r="M46" s="11"/>
      <c r="N46" s="11"/>
      <c r="O46" s="11"/>
      <c r="P46" s="11"/>
      <c r="Q46" s="11"/>
      <c r="R46" s="11"/>
      <c r="S46" s="11"/>
      <c r="T46" s="11"/>
    </row>
    <row r="47" spans="1:20" s="6" customFormat="1" ht="18" customHeight="1" x14ac:dyDescent="0.2">
      <c r="A47" s="7">
        <v>42</v>
      </c>
      <c r="B47" s="8" t="str">
        <v>Paddling - Canoe/Kayak Inland Flatwater SP</v>
      </c>
      <c r="C47" s="64" t="str">
        <v/>
      </c>
      <c r="D47" s="9">
        <v>46080</v>
      </c>
      <c r="E47" s="9">
        <v>46080</v>
      </c>
      <c r="F47" s="10">
        <f t="shared" si="2"/>
        <v>1</v>
      </c>
      <c r="G47" s="11" t="str">
        <v>Branch Calendar Event</v>
      </c>
      <c r="H47" s="11">
        <v>0</v>
      </c>
      <c r="I47" s="11"/>
      <c r="J47" s="11"/>
      <c r="K47" s="11"/>
      <c r="L47" s="11"/>
      <c r="M47" s="11"/>
      <c r="N47" s="11"/>
      <c r="O47" s="11"/>
      <c r="P47" s="11"/>
      <c r="Q47" s="11"/>
      <c r="R47" s="11"/>
      <c r="S47" s="11"/>
      <c r="T47" s="11"/>
    </row>
    <row r="48" spans="1:20" s="6" customFormat="1" ht="18" customHeight="1" x14ac:dyDescent="0.2">
      <c r="A48" s="7">
        <v>43</v>
      </c>
      <c r="B48" s="8" t="str">
        <v>Paddling - Kayak Inland Flatwater TP (Wide Bay)</v>
      </c>
      <c r="C48" s="64" t="str">
        <v/>
      </c>
      <c r="D48" s="9">
        <v>46080</v>
      </c>
      <c r="E48" s="9">
        <v>46080</v>
      </c>
      <c r="F48" s="10">
        <f t="shared" si="2"/>
        <v>1</v>
      </c>
      <c r="G48" s="11" t="str">
        <v>Branch Calendar Event</v>
      </c>
      <c r="H48" s="11" t="str">
        <v>Training - AA</v>
      </c>
      <c r="I48" s="11"/>
      <c r="J48" s="11"/>
      <c r="K48" s="11"/>
      <c r="L48" s="11"/>
      <c r="M48" s="11"/>
      <c r="N48" s="11"/>
      <c r="O48" s="11"/>
      <c r="P48" s="11"/>
      <c r="Q48" s="11"/>
      <c r="R48" s="11"/>
      <c r="S48" s="11"/>
      <c r="T48" s="11"/>
    </row>
    <row r="49" spans="1:20" s="6" customFormat="1" ht="18" customHeight="1" x14ac:dyDescent="0.2">
      <c r="A49" s="7">
        <v>44</v>
      </c>
      <c r="B49" s="8" t="str">
        <v>Paddling - Canoe/Kayak Inland Flatwater SP</v>
      </c>
      <c r="C49" s="64" t="str">
        <v/>
      </c>
      <c r="D49" s="9">
        <v>46080</v>
      </c>
      <c r="E49" s="9">
        <v>46080</v>
      </c>
      <c r="F49" s="10">
        <f t="shared" si="2"/>
        <v>1</v>
      </c>
      <c r="G49" s="11" t="str">
        <v>Branch Calendar Event</v>
      </c>
      <c r="H49" s="11" t="str">
        <v>Training - AA</v>
      </c>
      <c r="I49" s="11"/>
      <c r="J49" s="11"/>
      <c r="K49" s="11"/>
      <c r="L49" s="11"/>
      <c r="M49" s="11"/>
      <c r="N49" s="11"/>
      <c r="O49" s="11"/>
      <c r="P49" s="11"/>
      <c r="Q49" s="11"/>
      <c r="R49" s="11"/>
      <c r="S49" s="11"/>
      <c r="T49" s="11"/>
    </row>
    <row r="50" spans="1:20" s="6" customFormat="1" ht="18" customHeight="1" x14ac:dyDescent="0.2">
      <c r="A50" s="7">
        <v>45</v>
      </c>
      <c r="B50" s="8" t="str">
        <v>Paddling - Canoe/Kayak Inland Flatwater SP</v>
      </c>
      <c r="C50" s="64" t="str">
        <v/>
      </c>
      <c r="D50" s="9">
        <v>46080</v>
      </c>
      <c r="E50" s="9">
        <v>46080</v>
      </c>
      <c r="F50" s="10">
        <f t="shared" si="2"/>
        <v>1</v>
      </c>
      <c r="G50" s="11" t="str">
        <v>Branch Calendar Event</v>
      </c>
      <c r="H50" s="11" t="str">
        <v>Training - AA</v>
      </c>
      <c r="I50" s="11"/>
      <c r="J50" s="11"/>
      <c r="K50" s="11"/>
      <c r="L50" s="11"/>
      <c r="M50" s="11"/>
      <c r="N50" s="11"/>
      <c r="O50" s="11"/>
      <c r="P50" s="11"/>
      <c r="Q50" s="11"/>
      <c r="R50" s="11"/>
      <c r="S50" s="11"/>
      <c r="T50" s="11"/>
    </row>
    <row r="51" spans="1:20" s="6" customFormat="1" ht="18" customHeight="1" x14ac:dyDescent="0.2">
      <c r="A51" s="7">
        <v>46</v>
      </c>
      <c r="B51" s="8" t="str">
        <v>Scouting Adventure (Townsville)</v>
      </c>
      <c r="C51" s="64" t="str">
        <v/>
      </c>
      <c r="D51" s="9">
        <v>46080</v>
      </c>
      <c r="E51" s="9">
        <v>46081</v>
      </c>
      <c r="F51" s="10">
        <f t="shared" si="2"/>
        <v>1</v>
      </c>
      <c r="G51" s="11" t="str">
        <v>Branch Calendar Event</v>
      </c>
      <c r="H51" s="11" t="str">
        <v>Training - AA</v>
      </c>
      <c r="I51" s="11"/>
      <c r="J51" s="11"/>
      <c r="K51" s="11"/>
      <c r="L51" s="11"/>
      <c r="M51" s="11"/>
      <c r="N51" s="11"/>
      <c r="O51" s="11"/>
      <c r="P51" s="11"/>
      <c r="Q51" s="11"/>
      <c r="R51" s="11"/>
      <c r="S51" s="11"/>
      <c r="T51" s="11"/>
    </row>
    <row r="52" spans="1:20" s="6" customFormat="1" ht="18" customHeight="1" x14ac:dyDescent="0.2">
      <c r="A52" s="7">
        <v>47</v>
      </c>
      <c r="B52" s="8" t="str">
        <v>Paddling - SUP Inland Flatwater SP</v>
      </c>
      <c r="C52" s="64" t="str">
        <v/>
      </c>
      <c r="D52" s="9">
        <v>46081</v>
      </c>
      <c r="E52" s="9">
        <v>46081</v>
      </c>
      <c r="F52" s="10">
        <f t="shared" si="2"/>
        <v>1</v>
      </c>
      <c r="G52" s="11" t="str">
        <v>Branch Calendar Event</v>
      </c>
      <c r="H52" s="11" t="str">
        <v>Training - AA</v>
      </c>
      <c r="I52" s="11"/>
      <c r="J52" s="11"/>
      <c r="K52" s="11"/>
      <c r="L52" s="11"/>
      <c r="M52" s="11"/>
      <c r="N52" s="11"/>
      <c r="O52" s="11"/>
      <c r="P52" s="11"/>
      <c r="Q52" s="11"/>
      <c r="R52" s="11"/>
      <c r="S52" s="11"/>
      <c r="T52" s="11"/>
    </row>
    <row r="53" spans="1:20" s="6" customFormat="1" ht="18" customHeight="1" x14ac:dyDescent="0.2">
      <c r="A53" s="7">
        <v>48</v>
      </c>
      <c r="B53" s="8" t="str">
        <v>Scouting Leadership (Rockhampton)</v>
      </c>
      <c r="C53" s="64" t="str">
        <v/>
      </c>
      <c r="D53" s="9">
        <v>46086</v>
      </c>
      <c r="E53" s="9">
        <v>46088</v>
      </c>
      <c r="F53" s="10">
        <f t="shared" si="2"/>
        <v>1</v>
      </c>
      <c r="G53" s="11" t="str">
        <v>Branch Calendar Event</v>
      </c>
      <c r="H53" s="11" t="str">
        <v>Training - AA</v>
      </c>
      <c r="I53" s="11"/>
      <c r="J53" s="11"/>
      <c r="K53" s="11"/>
      <c r="L53" s="11"/>
      <c r="M53" s="11"/>
      <c r="N53" s="11"/>
      <c r="O53" s="11"/>
      <c r="P53" s="11"/>
      <c r="Q53" s="11"/>
      <c r="R53" s="11"/>
      <c r="S53" s="11"/>
      <c r="T53" s="11"/>
    </row>
    <row r="54" spans="1:20" s="6" customFormat="1" ht="18" customHeight="1" x14ac:dyDescent="0.2">
      <c r="A54" s="7">
        <v>49</v>
      </c>
      <c r="B54" s="8" t="str">
        <v>Region Commissioners Conference</v>
      </c>
      <c r="C54" s="64" t="str">
        <v/>
      </c>
      <c r="D54" s="9">
        <v>46086</v>
      </c>
      <c r="E54" s="9">
        <v>46088</v>
      </c>
      <c r="F54" s="10">
        <f t="shared" si="2"/>
        <v>1</v>
      </c>
      <c r="G54" s="11" t="str">
        <v>Branch Calendar Event</v>
      </c>
      <c r="H54" s="11">
        <v>0</v>
      </c>
      <c r="I54" s="11"/>
      <c r="J54" s="11"/>
      <c r="K54" s="11"/>
      <c r="L54" s="11"/>
      <c r="M54" s="11"/>
      <c r="N54" s="11"/>
      <c r="O54" s="11"/>
      <c r="P54" s="11"/>
      <c r="Q54" s="11"/>
      <c r="R54" s="11"/>
      <c r="S54" s="11"/>
      <c r="T54" s="11"/>
    </row>
    <row r="55" spans="1:20" s="6" customFormat="1" ht="18" customHeight="1" x14ac:dyDescent="0.2">
      <c r="A55" s="7">
        <v>50</v>
      </c>
      <c r="B55" s="8" t="str">
        <v>Basic Water Rescue (FNR)</v>
      </c>
      <c r="C55" s="64" t="str">
        <v/>
      </c>
      <c r="D55" s="9">
        <v>46087</v>
      </c>
      <c r="E55" s="9">
        <v>46087</v>
      </c>
      <c r="F55" s="10">
        <f t="shared" si="2"/>
        <v>1</v>
      </c>
      <c r="G55" s="11" t="str">
        <v>Branch Calendar Event</v>
      </c>
      <c r="H55" s="11" t="str">
        <v>Training - AA</v>
      </c>
      <c r="I55" s="11"/>
      <c r="J55" s="11"/>
      <c r="K55" s="11"/>
      <c r="L55" s="11"/>
      <c r="M55" s="11"/>
      <c r="N55" s="11"/>
      <c r="O55" s="11"/>
      <c r="P55" s="11"/>
      <c r="Q55" s="11"/>
      <c r="R55" s="11"/>
      <c r="S55" s="11"/>
      <c r="T55" s="11"/>
    </row>
    <row r="56" spans="1:20" s="6" customFormat="1" ht="18" customHeight="1" x14ac:dyDescent="0.2">
      <c r="A56" s="7">
        <v>51</v>
      </c>
      <c r="B56" s="8" t="str">
        <v>Snorkelling - SP/Guide (Sunshine Coast)</v>
      </c>
      <c r="C56" s="64" t="str">
        <v/>
      </c>
      <c r="D56" s="9">
        <v>46087</v>
      </c>
      <c r="E56" s="9">
        <v>46088</v>
      </c>
      <c r="F56" s="10">
        <f t="shared" si="2"/>
        <v>1</v>
      </c>
      <c r="G56" s="11" t="str">
        <v>Branch Calendar Event</v>
      </c>
      <c r="H56" s="11" t="str">
        <v>Training - AA</v>
      </c>
      <c r="I56" s="11"/>
      <c r="J56" s="11"/>
      <c r="K56" s="11"/>
      <c r="L56" s="11"/>
      <c r="M56" s="11"/>
      <c r="N56" s="11"/>
      <c r="O56" s="11"/>
      <c r="P56" s="11"/>
      <c r="Q56" s="11"/>
      <c r="R56" s="11"/>
      <c r="S56" s="11"/>
      <c r="T56" s="11"/>
    </row>
    <row r="57" spans="1:20" s="6" customFormat="1" ht="18" customHeight="1" x14ac:dyDescent="0.2">
      <c r="A57" s="7">
        <v>52</v>
      </c>
      <c r="B57" s="8" t="str">
        <v>Scouting Management - Group Leaders (Online)</v>
      </c>
      <c r="C57" s="64" t="str">
        <v/>
      </c>
      <c r="D57" s="9">
        <v>46091</v>
      </c>
      <c r="E57" s="9">
        <v>46112</v>
      </c>
      <c r="F57" s="10">
        <f t="shared" si="2"/>
        <v>1</v>
      </c>
      <c r="G57" s="11" t="str">
        <v>Branch Calendar Event</v>
      </c>
      <c r="H57" s="11">
        <v>0</v>
      </c>
      <c r="I57" s="11"/>
      <c r="J57" s="11"/>
      <c r="K57" s="11"/>
      <c r="L57" s="11"/>
      <c r="M57" s="11"/>
      <c r="N57" s="11"/>
      <c r="O57" s="11"/>
      <c r="P57" s="11"/>
      <c r="Q57" s="11"/>
      <c r="R57" s="11"/>
      <c r="S57" s="11"/>
      <c r="T57" s="11"/>
    </row>
    <row r="58" spans="1:20" s="6" customFormat="1" ht="18" customHeight="1" x14ac:dyDescent="0.2">
      <c r="A58" s="7">
        <v>53</v>
      </c>
      <c r="B58" s="8" t="str">
        <v>Scouting Management - Group Leaders (Online)</v>
      </c>
      <c r="C58" s="64" t="str">
        <v/>
      </c>
      <c r="D58" s="9">
        <v>46091</v>
      </c>
      <c r="E58" s="9">
        <v>46091</v>
      </c>
      <c r="F58" s="10">
        <f t="shared" si="2"/>
        <v>1</v>
      </c>
      <c r="G58" s="11" t="str">
        <v>Branch Calendar Event</v>
      </c>
      <c r="H58" s="11" t="str">
        <v>Training - AA</v>
      </c>
      <c r="I58" s="11"/>
      <c r="J58" s="11"/>
      <c r="K58" s="11"/>
      <c r="L58" s="11"/>
      <c r="M58" s="11"/>
      <c r="N58" s="11"/>
      <c r="O58" s="11"/>
      <c r="P58" s="11"/>
      <c r="Q58" s="11"/>
      <c r="R58" s="11"/>
      <c r="S58" s="11"/>
      <c r="T58" s="11"/>
    </row>
    <row r="59" spans="1:20" s="6" customFormat="1" ht="18" customHeight="1" x14ac:dyDescent="0.2">
      <c r="A59" s="7">
        <v>54</v>
      </c>
      <c r="B59" s="8" t="str">
        <v>Scouting Leadership (Brisbane)</v>
      </c>
      <c r="C59" s="64" t="str">
        <v/>
      </c>
      <c r="D59" s="9">
        <v>46093</v>
      </c>
      <c r="E59" s="9">
        <v>46095</v>
      </c>
      <c r="F59" s="10">
        <f t="shared" si="2"/>
        <v>1</v>
      </c>
      <c r="G59" s="11" t="str">
        <v>Branch Calendar Event</v>
      </c>
      <c r="H59" s="11" t="str">
        <v>Training - AA</v>
      </c>
      <c r="I59" s="11"/>
      <c r="J59" s="11"/>
      <c r="K59" s="11"/>
      <c r="L59" s="11"/>
      <c r="M59" s="11"/>
      <c r="N59" s="11"/>
      <c r="O59" s="11"/>
      <c r="P59" s="11"/>
      <c r="Q59" s="11"/>
      <c r="R59" s="11"/>
      <c r="S59" s="11"/>
      <c r="T59" s="11"/>
    </row>
    <row r="60" spans="1:20" s="6" customFormat="1" ht="18" customHeight="1" x14ac:dyDescent="0.2">
      <c r="A60" s="7">
        <v>55</v>
      </c>
      <c r="B60" s="8" t="str">
        <v>Scouting Adventure (Mackay)</v>
      </c>
      <c r="C60" s="64" t="str">
        <v/>
      </c>
      <c r="D60" s="9">
        <v>46093</v>
      </c>
      <c r="E60" s="9">
        <v>46095</v>
      </c>
      <c r="F60" s="10">
        <f t="shared" si="2"/>
        <v>1</v>
      </c>
      <c r="G60" s="11" t="str">
        <v>Branch Calendar Event</v>
      </c>
      <c r="H60" s="11" t="str">
        <v>Training - AA</v>
      </c>
      <c r="I60" s="11"/>
      <c r="J60" s="11"/>
      <c r="K60" s="11"/>
      <c r="L60" s="11"/>
      <c r="M60" s="11"/>
      <c r="N60" s="11"/>
      <c r="O60" s="11"/>
      <c r="P60" s="11"/>
      <c r="Q60" s="11"/>
      <c r="R60" s="11"/>
      <c r="S60" s="11"/>
      <c r="T60" s="11"/>
    </row>
    <row r="61" spans="1:20" s="6" customFormat="1" ht="18" customHeight="1" x14ac:dyDescent="0.2">
      <c r="A61" s="7">
        <v>56</v>
      </c>
      <c r="B61" s="8" t="str">
        <v>Scouting Essentials (Emerald) Course</v>
      </c>
      <c r="C61" s="64" t="str">
        <v/>
      </c>
      <c r="D61" s="9">
        <v>46093</v>
      </c>
      <c r="E61" s="9">
        <v>46095</v>
      </c>
      <c r="F61" s="10">
        <f t="shared" si="2"/>
        <v>1</v>
      </c>
      <c r="G61" s="11" t="str">
        <v>Branch Calendar Event</v>
      </c>
      <c r="H61" s="11" t="str">
        <v>Training - AA</v>
      </c>
      <c r="I61" s="11"/>
      <c r="J61" s="11"/>
      <c r="K61" s="11"/>
      <c r="L61" s="11"/>
      <c r="M61" s="11"/>
      <c r="N61" s="11"/>
      <c r="O61" s="11"/>
      <c r="P61" s="11"/>
      <c r="Q61" s="11"/>
      <c r="R61" s="11"/>
      <c r="S61" s="11"/>
      <c r="T61" s="11"/>
    </row>
    <row r="62" spans="1:20" s="6" customFormat="1" ht="18" customHeight="1" x14ac:dyDescent="0.2">
      <c r="A62" s="7">
        <v>57</v>
      </c>
      <c r="B62" s="8" t="str">
        <v>Scouting Leadership (Townsville)</v>
      </c>
      <c r="C62" s="64" t="str">
        <v/>
      </c>
      <c r="D62" s="9">
        <v>46093</v>
      </c>
      <c r="E62" s="9">
        <v>46095</v>
      </c>
      <c r="F62" s="10">
        <f t="shared" si="2"/>
        <v>1</v>
      </c>
      <c r="G62" s="11" t="str">
        <v>Branch Calendar Event</v>
      </c>
      <c r="H62" s="11" t="str">
        <v>Training - AA</v>
      </c>
      <c r="I62" s="11"/>
      <c r="J62" s="11"/>
      <c r="K62" s="11"/>
      <c r="L62" s="11"/>
      <c r="M62" s="11"/>
      <c r="N62" s="11"/>
      <c r="O62" s="11"/>
      <c r="P62" s="11"/>
      <c r="Q62" s="11"/>
      <c r="R62" s="11"/>
      <c r="S62" s="11"/>
      <c r="T62" s="11"/>
    </row>
    <row r="63" spans="1:20" s="6" customFormat="1" ht="18" customHeight="1" x14ac:dyDescent="0.2">
      <c r="A63" s="7">
        <v>58</v>
      </c>
      <c r="B63" s="8" t="str">
        <v>Hop-a-long Leader Conference</v>
      </c>
      <c r="C63" s="64" t="str">
        <v/>
      </c>
      <c r="D63" s="9">
        <v>46094</v>
      </c>
      <c r="E63" s="9">
        <v>46094</v>
      </c>
      <c r="F63" s="10">
        <f t="shared" si="2"/>
        <v>1</v>
      </c>
      <c r="G63" s="11" t="str">
        <v>Branch Calendar Event</v>
      </c>
      <c r="H63" s="11">
        <v>0</v>
      </c>
      <c r="I63" s="11"/>
      <c r="J63" s="11"/>
      <c r="K63" s="11"/>
      <c r="L63" s="11"/>
      <c r="M63" s="11"/>
      <c r="N63" s="11"/>
      <c r="O63" s="11"/>
      <c r="P63" s="11"/>
      <c r="Q63" s="11"/>
      <c r="R63" s="11"/>
      <c r="S63" s="11"/>
      <c r="T63" s="11"/>
    </row>
    <row r="64" spans="1:20" s="6" customFormat="1" ht="18" customHeight="1" x14ac:dyDescent="0.2">
      <c r="A64" s="7">
        <v>59</v>
      </c>
      <c r="B64" s="8" t="str">
        <v>Queensland Branch Rover Council Meeting</v>
      </c>
      <c r="C64" s="64" t="str">
        <v/>
      </c>
      <c r="D64" s="9">
        <v>46095</v>
      </c>
      <c r="E64" s="9">
        <v>46095</v>
      </c>
      <c r="F64" s="10">
        <f t="shared" si="2"/>
        <v>1</v>
      </c>
      <c r="G64" s="11" t="str">
        <v>Branch Calendar Event</v>
      </c>
      <c r="H64" s="11" t="str">
        <v>Rover Scouts</v>
      </c>
      <c r="I64" s="11"/>
      <c r="J64" s="11"/>
      <c r="K64" s="11"/>
      <c r="L64" s="11"/>
      <c r="M64" s="11"/>
      <c r="N64" s="11"/>
      <c r="O64" s="11"/>
      <c r="P64" s="11"/>
      <c r="Q64" s="11"/>
      <c r="R64" s="11"/>
      <c r="S64" s="11"/>
      <c r="T64" s="11"/>
    </row>
    <row r="65" spans="1:20" s="6" customFormat="1" ht="18" customHeight="1" x14ac:dyDescent="0.2">
      <c r="A65" s="7">
        <v>60</v>
      </c>
      <c r="B65" s="8" t="str">
        <v>Branch Scout Section Council</v>
      </c>
      <c r="C65" s="64" t="str">
        <v/>
      </c>
      <c r="D65" s="9">
        <v>46096</v>
      </c>
      <c r="E65" s="9">
        <v>46096</v>
      </c>
      <c r="F65" s="10">
        <f t="shared" si="2"/>
        <v>1</v>
      </c>
      <c r="G65" s="11" t="str">
        <v>Branch Calendar Event</v>
      </c>
      <c r="H65" s="11">
        <v>0</v>
      </c>
      <c r="I65" s="11"/>
      <c r="J65" s="11"/>
      <c r="K65" s="11"/>
      <c r="L65" s="11"/>
      <c r="M65" s="11"/>
      <c r="N65" s="11"/>
      <c r="O65" s="11"/>
      <c r="P65" s="11"/>
      <c r="Q65" s="11"/>
      <c r="R65" s="11"/>
      <c r="S65" s="11"/>
      <c r="T65" s="11"/>
    </row>
    <row r="66" spans="1:20" s="6" customFormat="1" ht="18" customHeight="1" x14ac:dyDescent="0.2">
      <c r="A66" s="7">
        <v>61</v>
      </c>
      <c r="B66" s="8" t="str">
        <v>Branch Finance Committee</v>
      </c>
      <c r="C66" s="64" t="str">
        <v/>
      </c>
      <c r="D66" s="9">
        <v>46096</v>
      </c>
      <c r="E66" s="9">
        <v>46096</v>
      </c>
      <c r="F66" s="10">
        <f t="shared" si="2"/>
        <v>1</v>
      </c>
      <c r="G66" s="11" t="str">
        <v>Branch Calendar Event</v>
      </c>
      <c r="H66" s="11">
        <v>0</v>
      </c>
      <c r="I66" s="11"/>
      <c r="J66" s="11"/>
      <c r="K66" s="11"/>
      <c r="L66" s="11"/>
      <c r="M66" s="11"/>
      <c r="N66" s="11"/>
      <c r="O66" s="11"/>
      <c r="P66" s="11"/>
      <c r="Q66" s="11"/>
      <c r="R66" s="11"/>
      <c r="S66" s="11"/>
      <c r="T66" s="11"/>
    </row>
    <row r="67" spans="1:20" s="6" customFormat="1" ht="18" customHeight="1" x14ac:dyDescent="0.2">
      <c r="A67" s="7">
        <v>62</v>
      </c>
      <c r="B67" s="8" t="str">
        <v>Branch Youth Venturer Scout Council</v>
      </c>
      <c r="C67" s="64" t="str">
        <v/>
      </c>
      <c r="D67" s="9">
        <v>46098</v>
      </c>
      <c r="E67" s="9">
        <v>46098</v>
      </c>
      <c r="F67" s="10">
        <f t="shared" si="2"/>
        <v>1</v>
      </c>
      <c r="G67" s="11" t="str">
        <v>Branch Calendar Event</v>
      </c>
      <c r="H67" s="11">
        <v>0</v>
      </c>
      <c r="I67" s="11"/>
      <c r="J67" s="11"/>
      <c r="K67" s="11"/>
      <c r="L67" s="11"/>
      <c r="M67" s="11"/>
      <c r="N67" s="11"/>
      <c r="O67" s="11"/>
      <c r="P67" s="11"/>
      <c r="Q67" s="11"/>
      <c r="R67" s="11"/>
      <c r="S67" s="11"/>
      <c r="T67" s="11"/>
    </row>
    <row r="68" spans="1:20" s="6" customFormat="1" ht="18" customHeight="1" x14ac:dyDescent="0.2">
      <c r="A68" s="7">
        <v>63</v>
      </c>
      <c r="B68" s="8" t="str">
        <v>Branch Cub Scout Section Team Meeting</v>
      </c>
      <c r="C68" s="64" t="str">
        <v/>
      </c>
      <c r="D68" s="9">
        <v>46099</v>
      </c>
      <c r="E68" s="9">
        <v>46099</v>
      </c>
      <c r="F68" s="10">
        <f t="shared" si="2"/>
        <v>1</v>
      </c>
      <c r="G68" s="11" t="str">
        <v>Branch Calendar Event</v>
      </c>
      <c r="H68" s="11">
        <v>0</v>
      </c>
      <c r="I68" s="11"/>
      <c r="J68" s="11"/>
      <c r="K68" s="11"/>
      <c r="L68" s="11"/>
      <c r="M68" s="11"/>
      <c r="N68" s="11"/>
      <c r="O68" s="11"/>
      <c r="P68" s="11"/>
      <c r="Q68" s="11"/>
      <c r="R68" s="11"/>
      <c r="S68" s="11"/>
      <c r="T68" s="11"/>
    </row>
    <row r="69" spans="1:20" s="6" customFormat="1" ht="18" customHeight="1" x14ac:dyDescent="0.2">
      <c r="A69" s="7">
        <v>64</v>
      </c>
      <c r="B69" s="8" t="str">
        <v>Scouting Adventure (Brisbane)</v>
      </c>
      <c r="C69" s="64" t="str">
        <v/>
      </c>
      <c r="D69" s="9">
        <v>46100</v>
      </c>
      <c r="E69" s="9">
        <v>46102</v>
      </c>
      <c r="F69" s="10">
        <f t="shared" si="2"/>
        <v>1</v>
      </c>
      <c r="G69" s="11" t="str">
        <v>Branch Calendar Event</v>
      </c>
      <c r="H69" s="11" t="str">
        <v>Training - AA</v>
      </c>
      <c r="I69" s="11"/>
      <c r="J69" s="11"/>
      <c r="K69" s="11"/>
      <c r="L69" s="11"/>
      <c r="M69" s="11"/>
      <c r="N69" s="11"/>
      <c r="O69" s="11"/>
      <c r="P69" s="11"/>
      <c r="Q69" s="11"/>
      <c r="R69" s="11"/>
      <c r="S69" s="11"/>
      <c r="T69" s="11"/>
    </row>
    <row r="70" spans="1:20" s="6" customFormat="1" ht="18" customHeight="1" x14ac:dyDescent="0.2">
      <c r="A70" s="7">
        <v>65</v>
      </c>
      <c r="B70" s="8" t="str">
        <v>Scouting Management - Group Leaders (Brisbane)</v>
      </c>
      <c r="C70" s="64" t="str">
        <v/>
      </c>
      <c r="D70" s="9">
        <v>46100</v>
      </c>
      <c r="E70" s="9">
        <v>46102</v>
      </c>
      <c r="F70" s="10">
        <f t="shared" ref="F70:F133" si="3">IF(OR(ISBLANK(start_date),ISBLANK(end_date)),"",1+ROUND(((EOMONTH(end_date,0)-EOMONTH(start_date,0))/30),0))</f>
        <v>1</v>
      </c>
      <c r="G70" s="11" t="str">
        <v>Branch Calendar Event</v>
      </c>
      <c r="H70" s="11" t="str">
        <v>Training - AA</v>
      </c>
      <c r="I70" s="11"/>
      <c r="J70" s="11"/>
      <c r="K70" s="11"/>
      <c r="L70" s="11"/>
      <c r="M70" s="11"/>
      <c r="N70" s="11"/>
      <c r="O70" s="11"/>
      <c r="P70" s="11"/>
      <c r="Q70" s="11"/>
      <c r="R70" s="11"/>
      <c r="S70" s="11"/>
      <c r="T70" s="11"/>
    </row>
    <row r="71" spans="1:20" s="6" customFormat="1" ht="18" customHeight="1" x14ac:dyDescent="0.2">
      <c r="A71" s="7">
        <v>66</v>
      </c>
      <c r="B71" s="8" t="str">
        <v>Scouting Essentials (Brisbane)</v>
      </c>
      <c r="C71" s="64" t="str">
        <v/>
      </c>
      <c r="D71" s="9">
        <v>46100</v>
      </c>
      <c r="E71" s="9">
        <v>46102</v>
      </c>
      <c r="F71" s="10">
        <f t="shared" si="3"/>
        <v>1</v>
      </c>
      <c r="G71" s="11" t="str">
        <v>Branch Calendar Event</v>
      </c>
      <c r="H71" s="11" t="str">
        <v>Training - AA</v>
      </c>
      <c r="I71" s="11"/>
      <c r="J71" s="11"/>
      <c r="K71" s="11"/>
      <c r="L71" s="11"/>
      <c r="M71" s="11"/>
      <c r="N71" s="11"/>
      <c r="O71" s="11"/>
      <c r="P71" s="11"/>
      <c r="Q71" s="11"/>
      <c r="R71" s="11"/>
      <c r="S71" s="11"/>
      <c r="T71" s="11"/>
    </row>
    <row r="72" spans="1:20" s="6" customFormat="1" ht="18" customHeight="1" x14ac:dyDescent="0.2">
      <c r="A72" s="7">
        <v>67</v>
      </c>
      <c r="B72" s="8" t="str">
        <v>Scouting Essentials (FNR)</v>
      </c>
      <c r="C72" s="64" t="str">
        <v/>
      </c>
      <c r="D72" s="9">
        <v>46100</v>
      </c>
      <c r="E72" s="9">
        <v>46102</v>
      </c>
      <c r="F72" s="10">
        <f t="shared" si="3"/>
        <v>1</v>
      </c>
      <c r="G72" s="11" t="str">
        <v>Branch Calendar Event</v>
      </c>
      <c r="H72" s="11" t="str">
        <v>Training - AA</v>
      </c>
      <c r="I72" s="11"/>
      <c r="J72" s="11"/>
      <c r="K72" s="11"/>
      <c r="L72" s="11"/>
      <c r="M72" s="11"/>
      <c r="N72" s="11"/>
      <c r="O72" s="11"/>
      <c r="P72" s="11"/>
      <c r="Q72" s="11"/>
      <c r="R72" s="11"/>
      <c r="S72" s="11"/>
      <c r="T72" s="11"/>
    </row>
    <row r="73" spans="1:20" s="6" customFormat="1" ht="18" customHeight="1" x14ac:dyDescent="0.2">
      <c r="A73" s="7">
        <v>68</v>
      </c>
      <c r="B73" s="8" t="str">
        <v>Harmony Day</v>
      </c>
      <c r="C73" s="64" t="str">
        <v/>
      </c>
      <c r="D73" s="9">
        <v>46101</v>
      </c>
      <c r="E73" s="9">
        <v>46101</v>
      </c>
      <c r="F73" s="10">
        <f t="shared" si="3"/>
        <v>1</v>
      </c>
      <c r="G73" s="11" t="str">
        <v>Branch Calendar Event</v>
      </c>
      <c r="H73" s="11">
        <v>0</v>
      </c>
      <c r="I73" s="11"/>
      <c r="J73" s="11"/>
      <c r="K73" s="11"/>
      <c r="L73" s="11"/>
      <c r="M73" s="11"/>
      <c r="N73" s="11"/>
      <c r="O73" s="11"/>
      <c r="P73" s="11"/>
      <c r="Q73" s="11"/>
      <c r="R73" s="11"/>
      <c r="S73" s="11"/>
      <c r="T73" s="11"/>
    </row>
    <row r="74" spans="1:20" s="6" customFormat="1" ht="18" customHeight="1" x14ac:dyDescent="0.2">
      <c r="A74" s="7">
        <v>69</v>
      </c>
      <c r="B74" s="8" t="str">
        <v>Branch Executive Committee</v>
      </c>
      <c r="C74" s="64" t="str">
        <v/>
      </c>
      <c r="D74" s="9">
        <v>46104</v>
      </c>
      <c r="E74" s="9">
        <v>46104</v>
      </c>
      <c r="F74" s="10">
        <f t="shared" si="3"/>
        <v>1</v>
      </c>
      <c r="G74" s="11" t="str">
        <v>Branch Calendar Event</v>
      </c>
      <c r="H74" s="11">
        <v>0</v>
      </c>
      <c r="I74" s="11"/>
      <c r="J74" s="11"/>
      <c r="K74" s="11"/>
      <c r="L74" s="11"/>
      <c r="M74" s="11"/>
      <c r="N74" s="11"/>
      <c r="O74" s="11"/>
      <c r="P74" s="11"/>
      <c r="Q74" s="11"/>
      <c r="R74" s="11"/>
      <c r="S74" s="11"/>
      <c r="T74" s="11"/>
    </row>
    <row r="75" spans="1:20" s="6" customFormat="1" ht="18" customHeight="1" x14ac:dyDescent="0.2">
      <c r="A75" s="7">
        <v>70</v>
      </c>
      <c r="B75" s="8" t="str">
        <v>Region Activity Weekend (RAW)</v>
      </c>
      <c r="C75" s="64" t="str">
        <v/>
      </c>
      <c r="D75" s="9">
        <v>46107</v>
      </c>
      <c r="E75" s="9">
        <v>46109</v>
      </c>
      <c r="F75" s="10">
        <f t="shared" si="3"/>
        <v>1</v>
      </c>
      <c r="G75" s="11" t="str">
        <v>Branch Calendar Event</v>
      </c>
      <c r="H75" s="11">
        <v>0</v>
      </c>
      <c r="I75" s="11"/>
      <c r="J75" s="11"/>
      <c r="K75" s="11"/>
      <c r="L75" s="11"/>
      <c r="M75" s="11"/>
      <c r="N75" s="11"/>
      <c r="O75" s="11"/>
      <c r="P75" s="11"/>
      <c r="Q75" s="11"/>
      <c r="R75" s="11"/>
      <c r="S75" s="11"/>
      <c r="T75" s="11"/>
    </row>
    <row r="76" spans="1:20" s="6" customFormat="1" ht="18" customHeight="1" x14ac:dyDescent="0.2">
      <c r="A76" s="7">
        <v>71</v>
      </c>
      <c r="B76" s="8" t="str">
        <v>Vertical - Abseiling Natural SP (Wide Bay)</v>
      </c>
      <c r="C76" s="64" t="str">
        <v/>
      </c>
      <c r="D76" s="9">
        <v>46108</v>
      </c>
      <c r="E76" s="9">
        <v>46109</v>
      </c>
      <c r="F76" s="10">
        <f t="shared" si="3"/>
        <v>1</v>
      </c>
      <c r="G76" s="11" t="str">
        <v>Branch Calendar Event</v>
      </c>
      <c r="H76" s="11" t="str">
        <v>Training - AA</v>
      </c>
      <c r="I76" s="11"/>
      <c r="J76" s="11"/>
      <c r="K76" s="11"/>
      <c r="L76" s="11"/>
      <c r="M76" s="11"/>
      <c r="N76" s="11"/>
      <c r="O76" s="11"/>
      <c r="P76" s="11"/>
      <c r="Q76" s="11"/>
      <c r="R76" s="11"/>
      <c r="S76" s="11"/>
      <c r="T76" s="11"/>
    </row>
    <row r="77" spans="1:20" s="6" customFormat="1" ht="18" customHeight="1" x14ac:dyDescent="0.2">
      <c r="A77" s="7">
        <v>72</v>
      </c>
      <c r="B77" s="8" t="str">
        <v>Basic Water Rescue (FNQ)</v>
      </c>
      <c r="C77" s="64" t="str">
        <v/>
      </c>
      <c r="D77" s="9">
        <v>46108</v>
      </c>
      <c r="E77" s="9">
        <v>46108</v>
      </c>
      <c r="F77" s="10">
        <f t="shared" si="3"/>
        <v>1</v>
      </c>
      <c r="G77" s="11" t="str">
        <v>Branch Calendar Event</v>
      </c>
      <c r="H77" s="11" t="str">
        <v>Training - AA</v>
      </c>
      <c r="I77" s="11"/>
      <c r="J77" s="11"/>
      <c r="K77" s="11"/>
      <c r="L77" s="11"/>
      <c r="M77" s="11"/>
      <c r="N77" s="11"/>
      <c r="O77" s="11"/>
      <c r="P77" s="11"/>
      <c r="Q77" s="11"/>
      <c r="R77" s="11"/>
      <c r="S77" s="11"/>
      <c r="T77" s="11"/>
    </row>
    <row r="78" spans="1:20" s="6" customFormat="1" ht="18" customHeight="1" x14ac:dyDescent="0.2">
      <c r="A78" s="7">
        <v>73</v>
      </c>
      <c r="B78" s="8" t="str">
        <v>Good Friday</v>
      </c>
      <c r="C78" s="64" t="str">
        <v/>
      </c>
      <c r="D78" s="9">
        <v>46114</v>
      </c>
      <c r="E78" s="9">
        <v>46114</v>
      </c>
      <c r="F78" s="10">
        <f t="shared" si="3"/>
        <v>1</v>
      </c>
      <c r="G78" s="11" t="str">
        <v>Branch Calendar Event</v>
      </c>
      <c r="H78" s="11">
        <v>0</v>
      </c>
      <c r="I78" s="11"/>
      <c r="J78" s="11"/>
      <c r="K78" s="11"/>
      <c r="L78" s="11"/>
      <c r="M78" s="11"/>
      <c r="N78" s="11"/>
      <c r="O78" s="11"/>
      <c r="P78" s="11"/>
      <c r="Q78" s="11"/>
      <c r="R78" s="11"/>
      <c r="S78" s="11"/>
      <c r="T78" s="11"/>
    </row>
    <row r="79" spans="1:20" s="6" customFormat="1" ht="18" customHeight="1" x14ac:dyDescent="0.2">
      <c r="A79" s="7">
        <v>74</v>
      </c>
      <c r="B79" s="8" t="str">
        <v>Kiwi Woggle</v>
      </c>
      <c r="C79" s="64" t="str">
        <v/>
      </c>
      <c r="D79" s="9">
        <v>46114</v>
      </c>
      <c r="E79" s="9">
        <v>46117</v>
      </c>
      <c r="F79" s="10">
        <f t="shared" si="3"/>
        <v>1</v>
      </c>
      <c r="G79" s="11" t="str">
        <v>Branch Calendar Event</v>
      </c>
      <c r="H79" s="11">
        <v>0</v>
      </c>
      <c r="I79" s="11"/>
      <c r="J79" s="11"/>
      <c r="K79" s="11"/>
      <c r="L79" s="11"/>
      <c r="M79" s="11"/>
      <c r="N79" s="11"/>
      <c r="O79" s="11"/>
      <c r="P79" s="11"/>
      <c r="Q79" s="11"/>
      <c r="R79" s="11"/>
      <c r="S79" s="11"/>
      <c r="T79" s="11"/>
    </row>
    <row r="80" spans="1:20" s="6" customFormat="1" ht="18" customHeight="1" x14ac:dyDescent="0.2">
      <c r="A80" s="7">
        <v>75</v>
      </c>
      <c r="B80" s="8" t="str">
        <v>Easter Saturday</v>
      </c>
      <c r="C80" s="64" t="str">
        <v/>
      </c>
      <c r="D80" s="9">
        <v>46115</v>
      </c>
      <c r="E80" s="9">
        <v>46115</v>
      </c>
      <c r="F80" s="10">
        <f t="shared" si="3"/>
        <v>1</v>
      </c>
      <c r="G80" s="11" t="str">
        <v>Branch Calendar Event</v>
      </c>
      <c r="H80" s="11">
        <v>0</v>
      </c>
      <c r="I80" s="11"/>
      <c r="J80" s="11"/>
      <c r="K80" s="11"/>
      <c r="L80" s="11"/>
      <c r="M80" s="11"/>
      <c r="N80" s="11"/>
      <c r="O80" s="11"/>
      <c r="P80" s="11"/>
      <c r="Q80" s="11"/>
      <c r="R80" s="11"/>
      <c r="S80" s="11"/>
      <c r="T80" s="11"/>
    </row>
    <row r="81" spans="1:20" s="6" customFormat="1" ht="18" customHeight="1" x14ac:dyDescent="0.2">
      <c r="A81" s="7">
        <v>76</v>
      </c>
      <c r="B81" s="8" t="str">
        <v>School Holidays (April)</v>
      </c>
      <c r="C81" s="64" t="str">
        <v/>
      </c>
      <c r="D81" s="9">
        <v>46115</v>
      </c>
      <c r="E81" s="9">
        <v>46131</v>
      </c>
      <c r="F81" s="10">
        <f t="shared" si="3"/>
        <v>1</v>
      </c>
      <c r="G81" s="11" t="str">
        <v>Reference</v>
      </c>
      <c r="H81" s="11">
        <v>0</v>
      </c>
      <c r="I81" s="11"/>
      <c r="J81" s="11"/>
      <c r="K81" s="11"/>
      <c r="L81" s="11"/>
      <c r="M81" s="11"/>
      <c r="N81" s="11"/>
      <c r="O81" s="11"/>
      <c r="P81" s="11"/>
      <c r="Q81" s="11"/>
      <c r="R81" s="11"/>
      <c r="S81" s="11"/>
      <c r="T81" s="11"/>
    </row>
    <row r="82" spans="1:20" s="6" customFormat="1" ht="18" customHeight="1" x14ac:dyDescent="0.2">
      <c r="A82" s="7">
        <v>77</v>
      </c>
      <c r="B82" s="8" t="str">
        <v>Easter Sunday</v>
      </c>
      <c r="C82" s="64" t="str">
        <v/>
      </c>
      <c r="D82" s="9">
        <v>46116</v>
      </c>
      <c r="E82" s="9">
        <v>46116</v>
      </c>
      <c r="F82" s="10">
        <f t="shared" si="3"/>
        <v>1</v>
      </c>
      <c r="G82" s="11" t="str">
        <v>Branch Calendar Event</v>
      </c>
      <c r="H82" s="11">
        <v>0</v>
      </c>
      <c r="I82" s="11"/>
      <c r="J82" s="11"/>
      <c r="K82" s="11"/>
      <c r="L82" s="11"/>
      <c r="M82" s="11"/>
      <c r="N82" s="11"/>
      <c r="O82" s="11"/>
      <c r="P82" s="11"/>
      <c r="Q82" s="11"/>
      <c r="R82" s="11"/>
      <c r="S82" s="11"/>
      <c r="T82" s="11"/>
    </row>
    <row r="83" spans="1:20" s="6" customFormat="1" ht="18" customHeight="1" x14ac:dyDescent="0.2">
      <c r="A83" s="7">
        <v>78</v>
      </c>
      <c r="B83" s="8" t="str">
        <v>Easter Monday</v>
      </c>
      <c r="C83" s="64" t="str">
        <v/>
      </c>
      <c r="D83" s="9">
        <v>46117</v>
      </c>
      <c r="E83" s="9">
        <v>46117</v>
      </c>
      <c r="F83" s="10">
        <f t="shared" si="3"/>
        <v>1</v>
      </c>
      <c r="G83" s="11" t="str">
        <v>Branch Calendar Event</v>
      </c>
      <c r="H83" s="11">
        <v>0</v>
      </c>
      <c r="I83" s="11"/>
      <c r="J83" s="11"/>
      <c r="K83" s="11"/>
      <c r="L83" s="11"/>
      <c r="M83" s="11"/>
      <c r="N83" s="11"/>
      <c r="O83" s="11"/>
      <c r="P83" s="11"/>
      <c r="Q83" s="11"/>
      <c r="R83" s="11"/>
      <c r="S83" s="11"/>
      <c r="T83" s="11"/>
    </row>
    <row r="84" spans="1:20" s="6" customFormat="1" ht="18" customHeight="1" x14ac:dyDescent="0.2">
      <c r="A84" s="7">
        <v>79</v>
      </c>
      <c r="B84" s="8" t="str">
        <v>Cuboree</v>
      </c>
      <c r="C84" s="64" t="str">
        <v/>
      </c>
      <c r="D84" s="9">
        <v>46120</v>
      </c>
      <c r="E84" s="9">
        <v>46124</v>
      </c>
      <c r="F84" s="10">
        <f t="shared" si="3"/>
        <v>1</v>
      </c>
      <c r="G84" s="11" t="str">
        <v>Branch Calendar Event</v>
      </c>
      <c r="H84" s="11">
        <v>0</v>
      </c>
      <c r="I84" s="11"/>
      <c r="J84" s="11"/>
      <c r="K84" s="11"/>
      <c r="L84" s="11"/>
      <c r="M84" s="11"/>
      <c r="N84" s="11"/>
      <c r="O84" s="11"/>
      <c r="P84" s="11"/>
      <c r="Q84" s="11"/>
      <c r="R84" s="11"/>
      <c r="S84" s="11"/>
      <c r="T84" s="11"/>
    </row>
    <row r="85" spans="1:20" s="6" customFormat="1" ht="18" customHeight="1" x14ac:dyDescent="0.2">
      <c r="A85" s="7">
        <v>80</v>
      </c>
      <c r="B85" s="8" t="str">
        <v>Scouting Essentials (Bundaberg)</v>
      </c>
      <c r="C85" s="64" t="str">
        <v/>
      </c>
      <c r="D85" s="9">
        <v>46121</v>
      </c>
      <c r="E85" s="9">
        <v>46123</v>
      </c>
      <c r="F85" s="10">
        <f t="shared" si="3"/>
        <v>1</v>
      </c>
      <c r="G85" s="11" t="str">
        <v>Branch Calendar Event</v>
      </c>
      <c r="H85" s="11" t="str">
        <v>Training - AA</v>
      </c>
      <c r="I85" s="11"/>
      <c r="J85" s="11"/>
      <c r="K85" s="11"/>
      <c r="L85" s="11"/>
      <c r="M85" s="11"/>
      <c r="N85" s="11"/>
      <c r="O85" s="11"/>
      <c r="P85" s="11"/>
      <c r="Q85" s="11"/>
      <c r="R85" s="11"/>
      <c r="S85" s="11"/>
      <c r="T85" s="11"/>
    </row>
    <row r="86" spans="1:20" s="6" customFormat="1" ht="18" customHeight="1" x14ac:dyDescent="0.2">
      <c r="A86" s="7">
        <v>81</v>
      </c>
      <c r="B86" s="8" t="str">
        <v>Scouting Leadership (Online)</v>
      </c>
      <c r="C86" s="64" t="str">
        <v/>
      </c>
      <c r="D86" s="9">
        <v>46122</v>
      </c>
      <c r="E86" s="9">
        <v>46122</v>
      </c>
      <c r="F86" s="10">
        <f t="shared" si="3"/>
        <v>1</v>
      </c>
      <c r="G86" s="11" t="str">
        <v>Branch Calendar Event</v>
      </c>
      <c r="H86" s="11">
        <v>0</v>
      </c>
      <c r="I86" s="11"/>
      <c r="J86" s="11"/>
      <c r="K86" s="11"/>
      <c r="L86" s="11"/>
      <c r="M86" s="11"/>
      <c r="N86" s="11"/>
      <c r="O86" s="11"/>
      <c r="P86" s="11"/>
      <c r="Q86" s="11"/>
      <c r="R86" s="11"/>
      <c r="S86" s="11"/>
      <c r="T86" s="11"/>
    </row>
    <row r="87" spans="1:20" s="6" customFormat="1" ht="18" customHeight="1" x14ac:dyDescent="0.2">
      <c r="A87" s="7">
        <v>82</v>
      </c>
      <c r="B87" s="8" t="str">
        <v>Scouting Leadership (Online)</v>
      </c>
      <c r="C87" s="64" t="str">
        <v/>
      </c>
      <c r="D87" s="9">
        <v>46122</v>
      </c>
      <c r="E87" s="9">
        <v>46122</v>
      </c>
      <c r="F87" s="10">
        <f t="shared" si="3"/>
        <v>1</v>
      </c>
      <c r="G87" s="11" t="str">
        <v>Branch Calendar Event</v>
      </c>
      <c r="H87" s="11" t="str">
        <v>Training - AA</v>
      </c>
      <c r="I87" s="11"/>
      <c r="J87" s="11"/>
      <c r="K87" s="11"/>
      <c r="L87" s="11"/>
      <c r="M87" s="11"/>
      <c r="N87" s="11"/>
      <c r="O87" s="11"/>
      <c r="P87" s="11"/>
      <c r="Q87" s="11"/>
      <c r="R87" s="11"/>
      <c r="S87" s="11"/>
      <c r="T87" s="11"/>
    </row>
    <row r="88" spans="1:20" s="6" customFormat="1" ht="18" customHeight="1" x14ac:dyDescent="0.2">
      <c r="A88" s="7">
        <v>83</v>
      </c>
      <c r="B88" s="8" t="str">
        <v>Branch Joey Scout Council</v>
      </c>
      <c r="C88" s="64" t="str">
        <v/>
      </c>
      <c r="D88" s="9">
        <v>46126</v>
      </c>
      <c r="E88" s="9">
        <v>46126</v>
      </c>
      <c r="F88" s="10">
        <f t="shared" si="3"/>
        <v>1</v>
      </c>
      <c r="G88" s="11" t="str">
        <v>Branch Calendar Event</v>
      </c>
      <c r="H88" s="11" t="str">
        <v>Joey Scouts</v>
      </c>
      <c r="I88" s="11"/>
      <c r="J88" s="11"/>
      <c r="K88" s="11"/>
      <c r="L88" s="11"/>
      <c r="M88" s="11"/>
      <c r="N88" s="11"/>
      <c r="O88" s="11"/>
      <c r="P88" s="11"/>
      <c r="Q88" s="11"/>
      <c r="R88" s="11"/>
      <c r="S88" s="11"/>
      <c r="T88" s="11"/>
    </row>
    <row r="89" spans="1:20" s="6" customFormat="1" ht="18" customHeight="1" x14ac:dyDescent="0.2">
      <c r="A89" s="7">
        <v>84</v>
      </c>
      <c r="B89" s="8" t="str">
        <v>Branch Youth Venturer Scout Council</v>
      </c>
      <c r="C89" s="64" t="str">
        <v/>
      </c>
      <c r="D89" s="9">
        <v>46126</v>
      </c>
      <c r="E89" s="9">
        <v>46126</v>
      </c>
      <c r="F89" s="10">
        <f t="shared" si="3"/>
        <v>1</v>
      </c>
      <c r="G89" s="11" t="str">
        <v>Branch Calendar Event</v>
      </c>
      <c r="H89" s="11">
        <v>0</v>
      </c>
      <c r="I89" s="11"/>
      <c r="J89" s="11"/>
      <c r="K89" s="11"/>
      <c r="L89" s="11"/>
      <c r="M89" s="11"/>
      <c r="N89" s="11"/>
      <c r="O89" s="11"/>
      <c r="P89" s="11"/>
      <c r="Q89" s="11"/>
      <c r="R89" s="11"/>
      <c r="S89" s="11"/>
      <c r="T89" s="11"/>
    </row>
    <row r="90" spans="1:20" s="6" customFormat="1" ht="18" customHeight="1" x14ac:dyDescent="0.2">
      <c r="A90" s="7">
        <v>85</v>
      </c>
      <c r="B90" s="8" t="str">
        <v>Branch Cub Scout Section Team Meeting</v>
      </c>
      <c r="C90" s="64" t="str">
        <v/>
      </c>
      <c r="D90" s="9">
        <v>46127</v>
      </c>
      <c r="E90" s="9">
        <v>46127</v>
      </c>
      <c r="F90" s="10">
        <f t="shared" si="3"/>
        <v>1</v>
      </c>
      <c r="G90" s="11" t="str">
        <v>Branch Calendar Event</v>
      </c>
      <c r="H90" s="11" t="str">
        <v>Cub Scouts</v>
      </c>
      <c r="I90" s="11"/>
      <c r="J90" s="11"/>
      <c r="K90" s="11"/>
      <c r="L90" s="11"/>
      <c r="M90" s="11"/>
      <c r="N90" s="11"/>
      <c r="O90" s="11"/>
      <c r="P90" s="11"/>
      <c r="Q90" s="11"/>
      <c r="R90" s="11"/>
      <c r="S90" s="11"/>
      <c r="T90" s="11"/>
    </row>
    <row r="91" spans="1:20" s="6" customFormat="1" ht="18" customHeight="1" x14ac:dyDescent="0.2">
      <c r="A91" s="7">
        <v>86</v>
      </c>
      <c r="B91" s="8" t="str">
        <v>Queensland Branch Rover Council Meeting</v>
      </c>
      <c r="C91" s="64" t="str">
        <v/>
      </c>
      <c r="D91" s="9">
        <v>46130</v>
      </c>
      <c r="E91" s="9">
        <v>46130</v>
      </c>
      <c r="F91" s="10">
        <f t="shared" si="3"/>
        <v>1</v>
      </c>
      <c r="G91" s="11" t="str">
        <v>Branch Calendar Event</v>
      </c>
      <c r="H91" s="11" t="str">
        <v>Rover Scouts</v>
      </c>
      <c r="I91" s="11"/>
      <c r="J91" s="11"/>
      <c r="K91" s="11"/>
      <c r="L91" s="11"/>
      <c r="M91" s="11"/>
      <c r="N91" s="11"/>
      <c r="O91" s="11"/>
      <c r="P91" s="11"/>
      <c r="Q91" s="11"/>
      <c r="R91" s="11"/>
      <c r="S91" s="11"/>
      <c r="T91" s="11"/>
    </row>
    <row r="92" spans="1:20" s="6" customFormat="1" ht="18" customHeight="1" x14ac:dyDescent="0.2">
      <c r="A92" s="7">
        <v>87</v>
      </c>
      <c r="B92" s="8" t="str">
        <v>Branch Scout Section Council</v>
      </c>
      <c r="C92" s="64" t="str">
        <v/>
      </c>
      <c r="D92" s="9">
        <v>46131</v>
      </c>
      <c r="E92" s="9">
        <v>46131</v>
      </c>
      <c r="F92" s="10">
        <f t="shared" si="3"/>
        <v>1</v>
      </c>
      <c r="G92" s="11" t="str">
        <v>Branch Calendar Event</v>
      </c>
      <c r="H92" s="11">
        <v>0</v>
      </c>
      <c r="I92" s="11"/>
      <c r="J92" s="11"/>
      <c r="K92" s="11"/>
      <c r="L92" s="11"/>
      <c r="M92" s="11"/>
      <c r="N92" s="11"/>
      <c r="O92" s="11"/>
      <c r="P92" s="11"/>
      <c r="Q92" s="11"/>
      <c r="R92" s="11"/>
      <c r="S92" s="11"/>
      <c r="T92" s="11"/>
    </row>
    <row r="93" spans="1:20" s="6" customFormat="1" ht="18" customHeight="1" x14ac:dyDescent="0.2">
      <c r="A93" s="7">
        <v>88</v>
      </c>
      <c r="B93" s="8" t="str">
        <v>Branch Finance Committee</v>
      </c>
      <c r="C93" s="64" t="str">
        <v/>
      </c>
      <c r="D93" s="9">
        <v>46131</v>
      </c>
      <c r="E93" s="9">
        <v>46131</v>
      </c>
      <c r="F93" s="10">
        <f t="shared" si="3"/>
        <v>1</v>
      </c>
      <c r="G93" s="11" t="str">
        <v>Branch Calendar Event</v>
      </c>
      <c r="H93" s="11">
        <v>0</v>
      </c>
      <c r="I93" s="11"/>
      <c r="J93" s="11"/>
      <c r="K93" s="11"/>
      <c r="L93" s="11"/>
      <c r="M93" s="11"/>
      <c r="N93" s="11"/>
      <c r="O93" s="11"/>
      <c r="P93" s="11"/>
      <c r="Q93" s="11"/>
      <c r="R93" s="11"/>
      <c r="S93" s="11"/>
      <c r="T93" s="11"/>
    </row>
    <row r="94" spans="1:20" s="6" customFormat="1" ht="18" customHeight="1" x14ac:dyDescent="0.2">
      <c r="A94" s="7">
        <v>89</v>
      </c>
      <c r="B94" s="8" t="str">
        <v>Scouting Management - Commissioners and Advisors (Online)</v>
      </c>
      <c r="C94" s="64" t="str">
        <v/>
      </c>
      <c r="D94" s="9">
        <v>46133</v>
      </c>
      <c r="E94" s="9">
        <v>46133</v>
      </c>
      <c r="F94" s="10">
        <f t="shared" si="3"/>
        <v>1</v>
      </c>
      <c r="G94" s="11" t="str">
        <v>Branch Calendar Event</v>
      </c>
      <c r="H94" s="11" t="str">
        <v>Training - AA</v>
      </c>
      <c r="I94" s="11"/>
      <c r="J94" s="11"/>
      <c r="K94" s="11"/>
      <c r="L94" s="11"/>
      <c r="M94" s="11"/>
      <c r="N94" s="11"/>
      <c r="O94" s="11"/>
      <c r="P94" s="11"/>
      <c r="Q94" s="11"/>
      <c r="R94" s="11"/>
      <c r="S94" s="11"/>
      <c r="T94" s="11"/>
    </row>
    <row r="95" spans="1:20" s="6" customFormat="1" ht="18" customHeight="1" x14ac:dyDescent="0.2">
      <c r="A95" s="7">
        <v>90</v>
      </c>
      <c r="B95" s="8" t="str">
        <v>ANZAC Day</v>
      </c>
      <c r="C95" s="64" t="str">
        <v/>
      </c>
      <c r="D95" s="9">
        <v>46136</v>
      </c>
      <c r="E95" s="9">
        <v>46136</v>
      </c>
      <c r="F95" s="10">
        <f t="shared" si="3"/>
        <v>1</v>
      </c>
      <c r="G95" s="11" t="str">
        <v>Branch Calendar Event</v>
      </c>
      <c r="H95" s="11">
        <v>0</v>
      </c>
      <c r="I95" s="11"/>
      <c r="J95" s="11"/>
      <c r="K95" s="11"/>
      <c r="L95" s="11"/>
      <c r="M95" s="11"/>
      <c r="N95" s="11"/>
      <c r="O95" s="11"/>
      <c r="P95" s="11"/>
      <c r="Q95" s="11"/>
      <c r="R95" s="11"/>
      <c r="S95" s="11"/>
      <c r="T95" s="11"/>
    </row>
    <row r="96" spans="1:20" s="6" customFormat="1" ht="18" customHeight="1" x14ac:dyDescent="0.2">
      <c r="A96" s="7">
        <v>91</v>
      </c>
      <c r="B96" s="8" t="str">
        <v>Joey Leader Online Forum</v>
      </c>
      <c r="C96" s="64" t="str">
        <v/>
      </c>
      <c r="D96" s="9">
        <v>46137</v>
      </c>
      <c r="E96" s="9">
        <v>46137</v>
      </c>
      <c r="F96" s="10">
        <f t="shared" si="3"/>
        <v>1</v>
      </c>
      <c r="G96" s="11" t="str">
        <v>Branch Calendar Event</v>
      </c>
      <c r="H96" s="11" t="str">
        <v>Joey Scouts</v>
      </c>
      <c r="I96" s="11"/>
      <c r="J96" s="11"/>
      <c r="K96" s="11"/>
      <c r="L96" s="11"/>
      <c r="M96" s="11"/>
      <c r="N96" s="11"/>
      <c r="O96" s="11"/>
      <c r="P96" s="11"/>
      <c r="Q96" s="11"/>
      <c r="R96" s="11"/>
      <c r="S96" s="11"/>
      <c r="T96" s="11"/>
    </row>
    <row r="97" spans="1:20" s="6" customFormat="1" ht="18" customHeight="1" x14ac:dyDescent="0.2">
      <c r="A97" s="7">
        <v>92</v>
      </c>
      <c r="B97" s="8" t="str">
        <v>Branch Executive Committee</v>
      </c>
      <c r="C97" s="64" t="str">
        <v/>
      </c>
      <c r="D97" s="9">
        <v>46139</v>
      </c>
      <c r="E97" s="9">
        <v>46139</v>
      </c>
      <c r="F97" s="10">
        <f t="shared" si="3"/>
        <v>1</v>
      </c>
      <c r="G97" s="11" t="str">
        <v>Branch Calendar Event</v>
      </c>
      <c r="H97" s="11">
        <v>0</v>
      </c>
      <c r="I97" s="11"/>
      <c r="J97" s="11"/>
      <c r="K97" s="11"/>
      <c r="L97" s="11"/>
      <c r="M97" s="11"/>
      <c r="N97" s="11"/>
      <c r="O97" s="11"/>
      <c r="P97" s="11"/>
      <c r="Q97" s="11"/>
      <c r="R97" s="11"/>
      <c r="S97" s="11"/>
      <c r="T97" s="11"/>
    </row>
    <row r="98" spans="1:20" s="6" customFormat="1" ht="18" customHeight="1" x14ac:dyDescent="0.2">
      <c r="A98" s="7">
        <v>93</v>
      </c>
      <c r="B98" s="8" t="str">
        <v>TNT (Test'N'Track) Moot</v>
      </c>
      <c r="C98" s="64" t="str">
        <v/>
      </c>
      <c r="D98" s="9">
        <v>46142</v>
      </c>
      <c r="E98" s="9">
        <v>46145</v>
      </c>
      <c r="F98" s="10">
        <f t="shared" si="3"/>
        <v>2</v>
      </c>
      <c r="G98" s="11" t="str">
        <v>Branch Calendar Event</v>
      </c>
      <c r="H98" s="11">
        <v>0</v>
      </c>
      <c r="I98" s="11"/>
      <c r="J98" s="11"/>
      <c r="K98" s="11"/>
      <c r="L98" s="11"/>
      <c r="M98" s="11"/>
      <c r="N98" s="11"/>
      <c r="O98" s="11"/>
      <c r="P98" s="11"/>
      <c r="Q98" s="11"/>
      <c r="R98" s="11"/>
      <c r="S98" s="11"/>
      <c r="T98" s="11"/>
    </row>
    <row r="99" spans="1:20" s="6" customFormat="1" ht="18" customHeight="1" x14ac:dyDescent="0.2">
      <c r="A99" s="7">
        <v>94</v>
      </c>
      <c r="B99" s="8" t="str">
        <v>Cycling - Off Road - SP/TP (Brisbane)</v>
      </c>
      <c r="C99" s="64" t="str">
        <v/>
      </c>
      <c r="D99" s="9">
        <v>46143</v>
      </c>
      <c r="E99" s="9">
        <v>46143</v>
      </c>
      <c r="F99" s="10">
        <f t="shared" si="3"/>
        <v>1</v>
      </c>
      <c r="G99" s="11" t="str">
        <v>Branch Calendar Event</v>
      </c>
      <c r="H99" s="11" t="str">
        <v>Training - AA</v>
      </c>
      <c r="I99" s="11"/>
      <c r="J99" s="11"/>
      <c r="K99" s="11"/>
      <c r="L99" s="11"/>
      <c r="M99" s="11"/>
      <c r="N99" s="11"/>
      <c r="O99" s="11"/>
      <c r="P99" s="11"/>
      <c r="Q99" s="11"/>
      <c r="R99" s="11"/>
      <c r="S99" s="11"/>
      <c r="T99" s="11"/>
    </row>
    <row r="100" spans="1:20" s="6" customFormat="1" ht="18" customHeight="1" x14ac:dyDescent="0.2">
      <c r="A100" s="7">
        <v>95</v>
      </c>
      <c r="B100" s="8" t="str">
        <v>Labour Day</v>
      </c>
      <c r="C100" s="64" t="str">
        <v/>
      </c>
      <c r="D100" s="9">
        <v>46145</v>
      </c>
      <c r="E100" s="9">
        <v>46145</v>
      </c>
      <c r="F100" s="10">
        <f t="shared" si="3"/>
        <v>1</v>
      </c>
      <c r="G100" s="11" t="str">
        <v>Branch Calendar Event</v>
      </c>
      <c r="H100" s="11">
        <v>0</v>
      </c>
      <c r="I100" s="11"/>
      <c r="J100" s="11"/>
      <c r="K100" s="11"/>
      <c r="L100" s="11"/>
      <c r="M100" s="11"/>
      <c r="N100" s="11"/>
      <c r="O100" s="11"/>
      <c r="P100" s="11"/>
      <c r="Q100" s="11"/>
      <c r="R100" s="11"/>
      <c r="S100" s="11"/>
      <c r="T100" s="11"/>
    </row>
    <row r="101" spans="1:20" s="6" customFormat="1" ht="18" customHeight="1" x14ac:dyDescent="0.2">
      <c r="A101" s="7">
        <v>96</v>
      </c>
      <c r="B101" s="8" t="str">
        <v>Scouting Essentials (Rockhampton)</v>
      </c>
      <c r="C101" s="64" t="str">
        <v/>
      </c>
      <c r="D101" s="9">
        <v>46147</v>
      </c>
      <c r="E101" s="9">
        <v>46147</v>
      </c>
      <c r="F101" s="10">
        <f t="shared" si="3"/>
        <v>1</v>
      </c>
      <c r="G101" s="11" t="str">
        <v>Branch Calendar Event</v>
      </c>
      <c r="H101" s="11" t="str">
        <v>Training - AA</v>
      </c>
      <c r="I101" s="11"/>
      <c r="J101" s="11"/>
      <c r="K101" s="11"/>
      <c r="L101" s="11"/>
      <c r="M101" s="11"/>
      <c r="N101" s="11"/>
      <c r="O101" s="11"/>
      <c r="P101" s="11"/>
      <c r="Q101" s="11"/>
      <c r="R101" s="11"/>
      <c r="S101" s="11"/>
      <c r="T101" s="11"/>
    </row>
    <row r="102" spans="1:20" s="6" customFormat="1" ht="18" customHeight="1" x14ac:dyDescent="0.2">
      <c r="A102" s="7">
        <v>97</v>
      </c>
      <c r="B102" s="8" t="str">
        <v>Scouting Adventure (FNQ)</v>
      </c>
      <c r="C102" s="64" t="str">
        <v/>
      </c>
      <c r="D102" s="9">
        <v>46147</v>
      </c>
      <c r="E102" s="9">
        <v>46147</v>
      </c>
      <c r="F102" s="10">
        <f t="shared" si="3"/>
        <v>1</v>
      </c>
      <c r="G102" s="11" t="str">
        <v>Branch Calendar Event</v>
      </c>
      <c r="H102" s="11" t="str">
        <v>Training - AA</v>
      </c>
      <c r="I102" s="11"/>
      <c r="J102" s="11"/>
      <c r="K102" s="11"/>
      <c r="L102" s="11"/>
      <c r="M102" s="11"/>
      <c r="N102" s="11"/>
      <c r="O102" s="11"/>
      <c r="P102" s="11"/>
      <c r="Q102" s="11"/>
      <c r="R102" s="11"/>
      <c r="S102" s="11"/>
      <c r="T102" s="11"/>
    </row>
    <row r="103" spans="1:20" s="6" customFormat="1" ht="18" customHeight="1" x14ac:dyDescent="0.2">
      <c r="A103" s="7">
        <v>98</v>
      </c>
      <c r="B103" s="8" t="str">
        <v>Basic Water Rescue (FNQ)</v>
      </c>
      <c r="C103" s="64" t="str">
        <v/>
      </c>
      <c r="D103" s="9">
        <v>46149</v>
      </c>
      <c r="E103" s="9">
        <v>46149</v>
      </c>
      <c r="F103" s="10">
        <f t="shared" si="3"/>
        <v>1</v>
      </c>
      <c r="G103" s="11" t="str">
        <v>Branch Calendar Event</v>
      </c>
      <c r="H103" s="11" t="str">
        <v>Training - AA</v>
      </c>
      <c r="I103" s="11"/>
      <c r="J103" s="11"/>
      <c r="K103" s="11"/>
      <c r="L103" s="11"/>
      <c r="M103" s="11"/>
      <c r="N103" s="11"/>
      <c r="O103" s="11"/>
      <c r="P103" s="11"/>
      <c r="Q103" s="11"/>
      <c r="R103" s="11"/>
      <c r="S103" s="11"/>
      <c r="T103" s="11"/>
    </row>
    <row r="104" spans="1:20" s="6" customFormat="1" ht="18" customHeight="1" x14ac:dyDescent="0.2">
      <c r="A104" s="7">
        <v>99</v>
      </c>
      <c r="B104" s="8" t="str">
        <v>Basic Water Rescue (FNQ)</v>
      </c>
      <c r="C104" s="64" t="str">
        <v/>
      </c>
      <c r="D104" s="9">
        <v>46149</v>
      </c>
      <c r="E104" s="9">
        <v>46149</v>
      </c>
      <c r="F104" s="10">
        <f t="shared" si="3"/>
        <v>1</v>
      </c>
      <c r="G104" s="11" t="str">
        <v>Branch Calendar Event</v>
      </c>
      <c r="H104" s="11">
        <v>0</v>
      </c>
      <c r="I104" s="11"/>
      <c r="J104" s="11"/>
      <c r="K104" s="11"/>
      <c r="L104" s="11"/>
      <c r="M104" s="11"/>
      <c r="N104" s="11"/>
      <c r="O104" s="11"/>
      <c r="P104" s="11"/>
      <c r="Q104" s="11"/>
      <c r="R104" s="11"/>
      <c r="S104" s="11"/>
      <c r="T104" s="11"/>
    </row>
    <row r="105" spans="1:20" s="6" customFormat="1" ht="18" customHeight="1" x14ac:dyDescent="0.2">
      <c r="A105" s="7">
        <v>100</v>
      </c>
      <c r="B105" s="8" t="str">
        <v>Vertical - Abseiling Natural TP (Wide Bay)</v>
      </c>
      <c r="C105" s="64" t="str">
        <v/>
      </c>
      <c r="D105" s="9">
        <v>46150</v>
      </c>
      <c r="E105" s="9">
        <v>46151</v>
      </c>
      <c r="F105" s="10">
        <f t="shared" si="3"/>
        <v>1</v>
      </c>
      <c r="G105" s="11" t="str">
        <v>Branch Calendar Event</v>
      </c>
      <c r="H105" s="11" t="str">
        <v>Training - AA</v>
      </c>
      <c r="I105" s="11"/>
      <c r="J105" s="11"/>
      <c r="K105" s="11"/>
      <c r="L105" s="11"/>
      <c r="M105" s="11"/>
      <c r="N105" s="11"/>
      <c r="O105" s="11"/>
      <c r="P105" s="11"/>
      <c r="Q105" s="11"/>
      <c r="R105" s="11"/>
      <c r="S105" s="11"/>
      <c r="T105" s="11"/>
    </row>
    <row r="106" spans="1:20" s="6" customFormat="1" ht="18" customHeight="1" x14ac:dyDescent="0.2">
      <c r="A106" s="7">
        <v>101</v>
      </c>
      <c r="B106" s="8" t="str">
        <v>Scouting Adventure (Bundaberg)</v>
      </c>
      <c r="C106" s="64" t="str">
        <v/>
      </c>
      <c r="D106" s="9">
        <v>46156</v>
      </c>
      <c r="E106" s="9">
        <v>46158</v>
      </c>
      <c r="F106" s="10">
        <f t="shared" si="3"/>
        <v>1</v>
      </c>
      <c r="G106" s="11" t="str">
        <v>Branch Calendar Event</v>
      </c>
      <c r="H106" s="11" t="str">
        <v>Training - AA</v>
      </c>
      <c r="I106" s="11"/>
      <c r="J106" s="11"/>
      <c r="K106" s="11"/>
      <c r="L106" s="11"/>
      <c r="M106" s="11"/>
      <c r="N106" s="11"/>
      <c r="O106" s="11"/>
      <c r="P106" s="11"/>
      <c r="Q106" s="11"/>
      <c r="R106" s="11"/>
      <c r="S106" s="11"/>
      <c r="T106" s="11"/>
    </row>
    <row r="107" spans="1:20" s="6" customFormat="1" ht="18" customHeight="1" x14ac:dyDescent="0.2">
      <c r="A107" s="7">
        <v>102</v>
      </c>
      <c r="B107" s="8" t="str">
        <v>Scouting Essentials (Townsville)</v>
      </c>
      <c r="C107" s="64" t="str">
        <v/>
      </c>
      <c r="D107" s="9">
        <v>46156</v>
      </c>
      <c r="E107" s="9">
        <v>46158</v>
      </c>
      <c r="F107" s="10">
        <f t="shared" si="3"/>
        <v>1</v>
      </c>
      <c r="G107" s="11" t="str">
        <v>Branch Calendar Event</v>
      </c>
      <c r="H107" s="11" t="str">
        <v>Training - AA</v>
      </c>
      <c r="I107" s="11"/>
      <c r="J107" s="11"/>
      <c r="K107" s="11"/>
      <c r="L107" s="11"/>
      <c r="M107" s="11"/>
      <c r="N107" s="11"/>
      <c r="O107" s="11"/>
      <c r="P107" s="11"/>
      <c r="Q107" s="11"/>
      <c r="R107" s="11"/>
      <c r="S107" s="11"/>
      <c r="T107" s="11"/>
    </row>
    <row r="108" spans="1:20" s="6" customFormat="1" ht="18" customHeight="1" x14ac:dyDescent="0.2">
      <c r="A108" s="7">
        <v>103</v>
      </c>
      <c r="B108" s="8" t="str">
        <v>Scouting Essentials (Toowoomba)</v>
      </c>
      <c r="C108" s="64" t="str">
        <v/>
      </c>
      <c r="D108" s="9">
        <v>46156</v>
      </c>
      <c r="E108" s="9">
        <v>46158</v>
      </c>
      <c r="F108" s="10">
        <f t="shared" si="3"/>
        <v>1</v>
      </c>
      <c r="G108" s="11" t="str">
        <v>Branch Calendar Event</v>
      </c>
      <c r="H108" s="11" t="str">
        <v>Training - AA</v>
      </c>
      <c r="I108" s="11"/>
      <c r="J108" s="11"/>
      <c r="K108" s="11"/>
      <c r="L108" s="11"/>
      <c r="M108" s="11"/>
      <c r="N108" s="11"/>
      <c r="O108" s="11"/>
      <c r="P108" s="11"/>
      <c r="Q108" s="11"/>
      <c r="R108" s="11"/>
      <c r="S108" s="11"/>
      <c r="T108" s="11"/>
    </row>
    <row r="109" spans="1:20" s="6" customFormat="1" ht="18" customHeight="1" x14ac:dyDescent="0.2">
      <c r="A109" s="7">
        <v>104</v>
      </c>
      <c r="B109" s="8" t="str">
        <v>Queensland Branch Rover Council Meeting</v>
      </c>
      <c r="C109" s="64" t="str">
        <v/>
      </c>
      <c r="D109" s="9">
        <v>46158</v>
      </c>
      <c r="E109" s="9">
        <v>46158</v>
      </c>
      <c r="F109" s="10">
        <f t="shared" si="3"/>
        <v>1</v>
      </c>
      <c r="G109" s="11" t="str">
        <v>Branch Calendar Event</v>
      </c>
      <c r="H109" s="11">
        <v>0</v>
      </c>
      <c r="I109" s="11"/>
      <c r="J109" s="11"/>
      <c r="K109" s="11"/>
      <c r="L109" s="11"/>
      <c r="M109" s="11"/>
      <c r="N109" s="11"/>
      <c r="O109" s="11"/>
      <c r="P109" s="11"/>
      <c r="Q109" s="11"/>
      <c r="R109" s="11"/>
      <c r="S109" s="11"/>
      <c r="T109" s="11"/>
    </row>
    <row r="110" spans="1:20" s="6" customFormat="1" ht="18" customHeight="1" x14ac:dyDescent="0.2">
      <c r="A110" s="7">
        <v>105</v>
      </c>
      <c r="B110" s="8" t="str">
        <v>Branch Finance Committee</v>
      </c>
      <c r="C110" s="64" t="str">
        <v/>
      </c>
      <c r="D110" s="9">
        <v>46159</v>
      </c>
      <c r="E110" s="9">
        <v>46159</v>
      </c>
      <c r="F110" s="10">
        <f t="shared" si="3"/>
        <v>1</v>
      </c>
      <c r="G110" s="11" t="str">
        <v>Branch Calendar Event</v>
      </c>
      <c r="H110" s="11">
        <v>0</v>
      </c>
      <c r="I110" s="11"/>
      <c r="J110" s="11"/>
      <c r="K110" s="11"/>
      <c r="L110" s="11"/>
      <c r="M110" s="11"/>
      <c r="N110" s="11"/>
      <c r="O110" s="11"/>
      <c r="P110" s="11"/>
      <c r="Q110" s="11"/>
      <c r="R110" s="11"/>
      <c r="S110" s="11"/>
      <c r="T110" s="11"/>
    </row>
    <row r="111" spans="1:20" s="6" customFormat="1" ht="18" customHeight="1" x14ac:dyDescent="0.2">
      <c r="A111" s="7">
        <v>106</v>
      </c>
      <c r="B111" s="8" t="str">
        <v>Branch Scout Section Council</v>
      </c>
      <c r="C111" s="64" t="str">
        <v/>
      </c>
      <c r="D111" s="9">
        <v>46159</v>
      </c>
      <c r="E111" s="9">
        <v>46159</v>
      </c>
      <c r="F111" s="10">
        <f t="shared" si="3"/>
        <v>1</v>
      </c>
      <c r="G111" s="11" t="str">
        <v>Branch Calendar Event</v>
      </c>
      <c r="H111" s="11">
        <v>0</v>
      </c>
      <c r="I111" s="11"/>
      <c r="J111" s="11"/>
      <c r="K111" s="11"/>
      <c r="L111" s="11"/>
      <c r="M111" s="11"/>
      <c r="N111" s="11"/>
      <c r="O111" s="11"/>
      <c r="P111" s="11"/>
      <c r="Q111" s="11"/>
      <c r="R111" s="11"/>
      <c r="S111" s="11"/>
      <c r="T111" s="11"/>
    </row>
    <row r="112" spans="1:20" s="6" customFormat="1" ht="18" customHeight="1" x14ac:dyDescent="0.2">
      <c r="A112" s="7">
        <v>107</v>
      </c>
      <c r="B112" s="8" t="str">
        <v>Branch Youth Venturer Scout Council</v>
      </c>
      <c r="C112" s="64" t="str">
        <v/>
      </c>
      <c r="D112" s="9">
        <v>46161</v>
      </c>
      <c r="E112" s="9">
        <v>46161</v>
      </c>
      <c r="F112" s="10">
        <f t="shared" si="3"/>
        <v>1</v>
      </c>
      <c r="G112" s="11" t="str">
        <v>Branch Calendar Event</v>
      </c>
      <c r="H112" s="11">
        <v>0</v>
      </c>
      <c r="I112" s="11"/>
      <c r="J112" s="11"/>
      <c r="K112" s="11"/>
      <c r="L112" s="11"/>
      <c r="M112" s="11"/>
      <c r="N112" s="11"/>
      <c r="O112" s="11"/>
      <c r="P112" s="11"/>
      <c r="Q112" s="11"/>
      <c r="R112" s="11"/>
      <c r="S112" s="11"/>
      <c r="T112" s="11"/>
    </row>
    <row r="113" spans="1:20" s="6" customFormat="1" ht="18" customHeight="1" x14ac:dyDescent="0.2">
      <c r="A113" s="7">
        <v>108</v>
      </c>
      <c r="B113" s="8" t="str">
        <v>Branch Cub Scout Section Team Meeting</v>
      </c>
      <c r="C113" s="64" t="str">
        <v/>
      </c>
      <c r="D113" s="9">
        <v>46162</v>
      </c>
      <c r="E113" s="9">
        <v>46162</v>
      </c>
      <c r="F113" s="10">
        <f t="shared" si="3"/>
        <v>1</v>
      </c>
      <c r="G113" s="11" t="str">
        <v>Branch Calendar Event</v>
      </c>
      <c r="H113" s="11" t="str">
        <v>Cub Scouts</v>
      </c>
      <c r="I113" s="11"/>
      <c r="J113" s="11"/>
      <c r="K113" s="11"/>
      <c r="L113" s="11"/>
      <c r="M113" s="11"/>
      <c r="N113" s="11"/>
      <c r="O113" s="11"/>
      <c r="P113" s="11"/>
      <c r="Q113" s="11"/>
      <c r="R113" s="11"/>
      <c r="S113" s="11"/>
      <c r="T113" s="11"/>
    </row>
    <row r="114" spans="1:20" s="6" customFormat="1" ht="18" customHeight="1" x14ac:dyDescent="0.2">
      <c r="A114" s="7">
        <v>109</v>
      </c>
      <c r="B114" s="8" t="str">
        <v>Scouting Essentials (Online)</v>
      </c>
      <c r="C114" s="64" t="str">
        <v/>
      </c>
      <c r="D114" s="9">
        <v>46162</v>
      </c>
      <c r="E114" s="9">
        <v>46162</v>
      </c>
      <c r="F114" s="10">
        <f t="shared" si="3"/>
        <v>1</v>
      </c>
      <c r="G114" s="11" t="str">
        <v>Branch Calendar Event</v>
      </c>
      <c r="H114" s="11" t="str">
        <v>Training - AA</v>
      </c>
      <c r="I114" s="11"/>
      <c r="J114" s="11"/>
      <c r="K114" s="11"/>
      <c r="L114" s="11"/>
      <c r="M114" s="11"/>
      <c r="N114" s="11"/>
      <c r="O114" s="11"/>
      <c r="P114" s="11"/>
      <c r="Q114" s="11"/>
      <c r="R114" s="11"/>
      <c r="S114" s="11"/>
      <c r="T114" s="11"/>
    </row>
    <row r="115" spans="1:20" s="6" customFormat="1" ht="18" customHeight="1" x14ac:dyDescent="0.2">
      <c r="A115" s="7">
        <v>110</v>
      </c>
      <c r="B115" s="8" t="str">
        <v>Scouting Essentials (Online)</v>
      </c>
      <c r="C115" s="64" t="str">
        <v/>
      </c>
      <c r="D115" s="9">
        <v>46162</v>
      </c>
      <c r="E115" s="9">
        <v>46162</v>
      </c>
      <c r="F115" s="10">
        <f t="shared" si="3"/>
        <v>1</v>
      </c>
      <c r="G115" s="11" t="str">
        <v>Branch Calendar Event</v>
      </c>
      <c r="H115" s="11">
        <v>0</v>
      </c>
      <c r="I115" s="11"/>
      <c r="J115" s="11"/>
      <c r="K115" s="11"/>
      <c r="L115" s="11"/>
      <c r="M115" s="11"/>
      <c r="N115" s="11"/>
      <c r="O115" s="11"/>
      <c r="P115" s="11"/>
      <c r="Q115" s="11"/>
      <c r="R115" s="11"/>
      <c r="S115" s="11"/>
      <c r="T115" s="11"/>
    </row>
    <row r="116" spans="1:20" s="6" customFormat="1" ht="18" customHeight="1" x14ac:dyDescent="0.2">
      <c r="A116" s="7">
        <v>111</v>
      </c>
      <c r="B116" s="8" t="str">
        <v>Scouting Adventure (Brisbane)</v>
      </c>
      <c r="C116" s="64" t="str">
        <v/>
      </c>
      <c r="D116" s="9">
        <v>46163</v>
      </c>
      <c r="E116" s="9">
        <v>46165</v>
      </c>
      <c r="F116" s="10">
        <f t="shared" si="3"/>
        <v>1</v>
      </c>
      <c r="G116" s="11" t="str">
        <v>Branch Calendar Event</v>
      </c>
      <c r="H116" s="11" t="str">
        <v>Training - AA</v>
      </c>
      <c r="I116" s="11"/>
      <c r="J116" s="11"/>
      <c r="K116" s="11"/>
      <c r="L116" s="11"/>
      <c r="M116" s="11"/>
      <c r="N116" s="11"/>
      <c r="O116" s="11"/>
      <c r="P116" s="11"/>
      <c r="Q116" s="11"/>
      <c r="R116" s="11"/>
      <c r="S116" s="11"/>
      <c r="T116" s="11"/>
    </row>
    <row r="117" spans="1:20" s="6" customFormat="1" ht="18" customHeight="1" x14ac:dyDescent="0.2">
      <c r="A117" s="7">
        <v>112</v>
      </c>
      <c r="B117" s="8" t="str">
        <v>Scouting Essentials (Brisbane)</v>
      </c>
      <c r="C117" s="64" t="str">
        <v/>
      </c>
      <c r="D117" s="9">
        <v>46163</v>
      </c>
      <c r="E117" s="9">
        <v>46165</v>
      </c>
      <c r="F117" s="10">
        <f t="shared" si="3"/>
        <v>1</v>
      </c>
      <c r="G117" s="11" t="str">
        <v>Branch Calendar Event</v>
      </c>
      <c r="H117" s="11" t="str">
        <v>Training - AA</v>
      </c>
      <c r="I117" s="11"/>
      <c r="J117" s="11"/>
      <c r="K117" s="11"/>
      <c r="L117" s="11"/>
      <c r="M117" s="11"/>
      <c r="N117" s="11"/>
      <c r="O117" s="11"/>
      <c r="P117" s="11"/>
      <c r="Q117" s="11"/>
      <c r="R117" s="11"/>
      <c r="S117" s="11"/>
      <c r="T117" s="11"/>
    </row>
    <row r="118" spans="1:20" s="6" customFormat="1" ht="18" customHeight="1" x14ac:dyDescent="0.2">
      <c r="A118" s="7">
        <v>113</v>
      </c>
      <c r="B118" s="8" t="str">
        <v>Scouting Management - Group Leaders (Brisbane)</v>
      </c>
      <c r="C118" s="64" t="str">
        <v/>
      </c>
      <c r="D118" s="9">
        <v>46163</v>
      </c>
      <c r="E118" s="9">
        <v>46165</v>
      </c>
      <c r="F118" s="10">
        <f t="shared" si="3"/>
        <v>1</v>
      </c>
      <c r="G118" s="11" t="str">
        <v>Branch Calendar Event</v>
      </c>
      <c r="H118" s="11" t="str">
        <v>Training - AA</v>
      </c>
      <c r="I118" s="11"/>
      <c r="J118" s="11"/>
      <c r="K118" s="11"/>
      <c r="L118" s="11"/>
      <c r="M118" s="11"/>
      <c r="N118" s="11"/>
      <c r="O118" s="11"/>
      <c r="P118" s="11"/>
      <c r="Q118" s="11"/>
      <c r="R118" s="11"/>
      <c r="S118" s="11"/>
      <c r="T118" s="11"/>
    </row>
    <row r="119" spans="1:20" s="6" customFormat="1" ht="18" customHeight="1" x14ac:dyDescent="0.2">
      <c r="A119" s="7">
        <v>114</v>
      </c>
      <c r="B119" s="8" t="str">
        <v>Moreton Region Raft Race</v>
      </c>
      <c r="C119" s="64" t="str">
        <v/>
      </c>
      <c r="D119" s="9">
        <v>46164</v>
      </c>
      <c r="E119" s="9">
        <v>46164</v>
      </c>
      <c r="F119" s="10">
        <f t="shared" si="3"/>
        <v>1</v>
      </c>
      <c r="G119" s="11" t="str">
        <v>Branch Calendar Event</v>
      </c>
      <c r="H119" s="11">
        <v>0</v>
      </c>
      <c r="I119" s="11"/>
      <c r="J119" s="11"/>
      <c r="K119" s="11"/>
      <c r="L119" s="11"/>
      <c r="M119" s="11"/>
      <c r="N119" s="11"/>
      <c r="O119" s="11"/>
      <c r="P119" s="11"/>
      <c r="Q119" s="11"/>
      <c r="R119" s="11"/>
      <c r="S119" s="11"/>
      <c r="T119" s="11"/>
    </row>
    <row r="120" spans="1:20" s="6" customFormat="1" ht="18" customHeight="1" x14ac:dyDescent="0.2">
      <c r="A120" s="7">
        <v>115</v>
      </c>
      <c r="B120" s="8" t="str">
        <v>Operation Archer </v>
      </c>
      <c r="C120" s="64" t="str">
        <v/>
      </c>
      <c r="D120" s="9">
        <v>46164</v>
      </c>
      <c r="E120" s="9">
        <v>46165</v>
      </c>
      <c r="F120" s="10">
        <f t="shared" si="3"/>
        <v>1</v>
      </c>
      <c r="G120" s="11" t="str">
        <v>Branch Calendar Event</v>
      </c>
      <c r="H120" s="11" t="str">
        <v>Venturer Scouts</v>
      </c>
      <c r="I120" s="11"/>
      <c r="J120" s="11"/>
      <c r="K120" s="11"/>
      <c r="L120" s="11"/>
      <c r="M120" s="11"/>
      <c r="N120" s="11"/>
      <c r="O120" s="11"/>
      <c r="P120" s="11"/>
      <c r="Q120" s="11"/>
      <c r="R120" s="11"/>
      <c r="S120" s="11"/>
      <c r="T120" s="11"/>
    </row>
    <row r="121" spans="1:20" s="6" customFormat="1" ht="18" customHeight="1" x14ac:dyDescent="0.2">
      <c r="A121" s="7">
        <v>116</v>
      </c>
      <c r="B121" s="8" t="str">
        <v>Paddling - Canoe Inland Flatwater TP (Cairns)</v>
      </c>
      <c r="C121" s="64" t="str">
        <v/>
      </c>
      <c r="D121" s="9">
        <v>46164</v>
      </c>
      <c r="E121" s="9">
        <v>46165</v>
      </c>
      <c r="F121" s="10">
        <f t="shared" si="3"/>
        <v>1</v>
      </c>
      <c r="G121" s="11" t="str">
        <v>Branch Calendar Event</v>
      </c>
      <c r="H121" s="11" t="str">
        <v>Training - AA</v>
      </c>
      <c r="I121" s="11"/>
      <c r="J121" s="11"/>
      <c r="K121" s="11"/>
      <c r="L121" s="11"/>
      <c r="M121" s="11"/>
      <c r="N121" s="11"/>
      <c r="O121" s="11"/>
      <c r="P121" s="11"/>
      <c r="Q121" s="11"/>
      <c r="R121" s="11"/>
      <c r="S121" s="11"/>
      <c r="T121" s="11"/>
    </row>
    <row r="122" spans="1:20" s="6" customFormat="1" ht="18" customHeight="1" x14ac:dyDescent="0.2">
      <c r="A122" s="7">
        <v>117</v>
      </c>
      <c r="B122" s="8" t="str">
        <v>Branch Executive Committee</v>
      </c>
      <c r="C122" s="64" t="str">
        <v/>
      </c>
      <c r="D122" s="9">
        <v>46167</v>
      </c>
      <c r="E122" s="9">
        <v>46167</v>
      </c>
      <c r="F122" s="10">
        <f t="shared" si="3"/>
        <v>1</v>
      </c>
      <c r="G122" s="11" t="str">
        <v>Branch Calendar Event</v>
      </c>
      <c r="H122" s="11">
        <v>0</v>
      </c>
      <c r="I122" s="11"/>
      <c r="J122" s="11"/>
      <c r="K122" s="11"/>
      <c r="L122" s="11"/>
      <c r="M122" s="11"/>
      <c r="N122" s="11"/>
      <c r="O122" s="11"/>
      <c r="P122" s="11"/>
      <c r="Q122" s="11"/>
      <c r="R122" s="11"/>
      <c r="S122" s="11"/>
      <c r="T122" s="11"/>
    </row>
    <row r="123" spans="1:20" s="6" customFormat="1" ht="18" customHeight="1" x14ac:dyDescent="0.2">
      <c r="A123" s="7">
        <v>118</v>
      </c>
      <c r="B123" s="8" t="str">
        <v>Joey Scout Step Out</v>
      </c>
      <c r="C123" s="64" t="str">
        <v/>
      </c>
      <c r="D123" s="9">
        <v>46172</v>
      </c>
      <c r="E123" s="9">
        <v>46172</v>
      </c>
      <c r="F123" s="10">
        <f t="shared" si="3"/>
        <v>1</v>
      </c>
      <c r="G123" s="11" t="str">
        <v>Branch Calendar Event</v>
      </c>
      <c r="H123" s="11">
        <v>0</v>
      </c>
      <c r="I123" s="11"/>
      <c r="J123" s="11"/>
      <c r="K123" s="11"/>
      <c r="L123" s="11"/>
      <c r="M123" s="11"/>
      <c r="N123" s="11"/>
      <c r="O123" s="11"/>
      <c r="P123" s="11"/>
      <c r="Q123" s="11"/>
      <c r="R123" s="11"/>
      <c r="S123" s="11"/>
      <c r="T123" s="11"/>
    </row>
    <row r="124" spans="1:20" s="6" customFormat="1" ht="18" customHeight="1" x14ac:dyDescent="0.2">
      <c r="A124" s="7">
        <v>119</v>
      </c>
      <c r="B124" s="8" t="str">
        <v>Scouting Leadership (Online)</v>
      </c>
      <c r="C124" s="64" t="str">
        <v/>
      </c>
      <c r="D124" s="9">
        <v>46174</v>
      </c>
      <c r="E124" s="9">
        <v>46174</v>
      </c>
      <c r="F124" s="10">
        <f t="shared" si="3"/>
        <v>1</v>
      </c>
      <c r="G124" s="11" t="str">
        <v>Branch Calendar Event</v>
      </c>
      <c r="H124" s="11" t="str">
        <v>Training - AA</v>
      </c>
      <c r="I124" s="11"/>
      <c r="J124" s="11"/>
      <c r="K124" s="11"/>
      <c r="L124" s="11"/>
      <c r="M124" s="11"/>
      <c r="N124" s="11"/>
      <c r="O124" s="11"/>
      <c r="P124" s="11"/>
      <c r="Q124" s="11"/>
      <c r="R124" s="11"/>
      <c r="S124" s="11"/>
      <c r="T124" s="11"/>
    </row>
    <row r="125" spans="1:20" s="6" customFormat="1" ht="18" customHeight="1" x14ac:dyDescent="0.2">
      <c r="A125" s="7">
        <v>120</v>
      </c>
      <c r="B125" s="8" t="str">
        <v>Scouting Leadership (Rockhampton)</v>
      </c>
      <c r="C125" s="64" t="str">
        <v/>
      </c>
      <c r="D125" s="9">
        <v>46175</v>
      </c>
      <c r="E125" s="9">
        <v>46177</v>
      </c>
      <c r="F125" s="10">
        <f t="shared" si="3"/>
        <v>1</v>
      </c>
      <c r="G125" s="11" t="str">
        <v>Branch Calendar Event</v>
      </c>
      <c r="H125" s="11" t="str">
        <v>Training - AA</v>
      </c>
      <c r="I125" s="11"/>
      <c r="J125" s="11"/>
      <c r="K125" s="11"/>
      <c r="L125" s="11"/>
      <c r="M125" s="11"/>
      <c r="N125" s="11"/>
      <c r="O125" s="11"/>
      <c r="P125" s="11"/>
      <c r="Q125" s="11"/>
      <c r="R125" s="11"/>
      <c r="S125" s="11"/>
      <c r="T125" s="11"/>
    </row>
    <row r="126" spans="1:20" s="6" customFormat="1" ht="18" customHeight="1" x14ac:dyDescent="0.2">
      <c r="A126" s="7">
        <v>121</v>
      </c>
      <c r="B126" s="8" t="str">
        <v>Scouting Adventure (FNQ)</v>
      </c>
      <c r="C126" s="64" t="str">
        <v/>
      </c>
      <c r="D126" s="9">
        <v>46177</v>
      </c>
      <c r="E126" s="9">
        <v>46177</v>
      </c>
      <c r="F126" s="10">
        <f t="shared" si="3"/>
        <v>1</v>
      </c>
      <c r="G126" s="11" t="str">
        <v>Branch Calendar Event</v>
      </c>
      <c r="H126" s="11" t="str">
        <v>Training - AA</v>
      </c>
      <c r="I126" s="11"/>
      <c r="J126" s="11"/>
      <c r="K126" s="11"/>
      <c r="L126" s="11"/>
      <c r="M126" s="11"/>
      <c r="N126" s="11"/>
      <c r="O126" s="11"/>
      <c r="P126" s="11"/>
      <c r="Q126" s="11"/>
      <c r="R126" s="11"/>
      <c r="S126" s="11"/>
      <c r="T126" s="11"/>
    </row>
    <row r="127" spans="1:20" s="6" customFormat="1" ht="18" customHeight="1" x14ac:dyDescent="0.2">
      <c r="A127" s="7">
        <v>122</v>
      </c>
      <c r="B127" s="8" t="str">
        <v>Scouting Essentials (Rockhampton)</v>
      </c>
      <c r="C127" s="64" t="str">
        <v/>
      </c>
      <c r="D127" s="9">
        <v>46177</v>
      </c>
      <c r="E127" s="9">
        <v>46177</v>
      </c>
      <c r="F127" s="10">
        <f t="shared" si="3"/>
        <v>1</v>
      </c>
      <c r="G127" s="11" t="str">
        <v>Branch Calendar Event</v>
      </c>
      <c r="H127" s="11" t="str">
        <v>Training - AA</v>
      </c>
      <c r="I127" s="11"/>
      <c r="J127" s="11"/>
      <c r="K127" s="11"/>
      <c r="L127" s="11"/>
      <c r="M127" s="11"/>
      <c r="N127" s="11"/>
      <c r="O127" s="11"/>
      <c r="P127" s="11"/>
      <c r="Q127" s="11"/>
      <c r="R127" s="11"/>
      <c r="S127" s="11"/>
      <c r="T127" s="11"/>
    </row>
    <row r="128" spans="1:20" s="6" customFormat="1" ht="18" customHeight="1" x14ac:dyDescent="0.2">
      <c r="A128" s="7">
        <v>123</v>
      </c>
      <c r="B128" s="8" t="str">
        <v>Cub Scout Day Out (local groups)</v>
      </c>
      <c r="C128" s="64" t="str">
        <v/>
      </c>
      <c r="D128" s="9">
        <v>46178</v>
      </c>
      <c r="E128" s="9">
        <v>46178</v>
      </c>
      <c r="F128" s="10">
        <f t="shared" si="3"/>
        <v>1</v>
      </c>
      <c r="G128" s="11" t="str">
        <v>Branch Calendar Event</v>
      </c>
      <c r="H128" s="11" t="str">
        <v>Cub Scouts</v>
      </c>
      <c r="I128" s="11"/>
      <c r="J128" s="11"/>
      <c r="K128" s="11"/>
      <c r="L128" s="11"/>
      <c r="M128" s="11"/>
      <c r="N128" s="11"/>
      <c r="O128" s="11"/>
      <c r="P128" s="11"/>
      <c r="Q128" s="11"/>
      <c r="R128" s="11"/>
      <c r="S128" s="11"/>
      <c r="T128" s="11"/>
    </row>
    <row r="129" spans="1:20" s="6" customFormat="1" ht="18" customHeight="1" x14ac:dyDescent="0.2">
      <c r="A129" s="7">
        <v>124</v>
      </c>
      <c r="B129" s="8" t="str">
        <v>Scouting Adventure (Brisbane)</v>
      </c>
      <c r="C129" s="64" t="str">
        <v/>
      </c>
      <c r="D129" s="9">
        <v>46184</v>
      </c>
      <c r="E129" s="9">
        <v>46186</v>
      </c>
      <c r="F129" s="10">
        <f t="shared" si="3"/>
        <v>1</v>
      </c>
      <c r="G129" s="11" t="str">
        <v>Branch Calendar Event</v>
      </c>
      <c r="H129" s="11" t="str">
        <v>Training - AA</v>
      </c>
      <c r="I129" s="11"/>
      <c r="J129" s="11"/>
      <c r="K129" s="11"/>
      <c r="L129" s="11"/>
      <c r="M129" s="11"/>
      <c r="N129" s="11"/>
      <c r="O129" s="11"/>
      <c r="P129" s="11"/>
      <c r="Q129" s="11"/>
      <c r="R129" s="11"/>
      <c r="S129" s="11"/>
      <c r="T129" s="11"/>
    </row>
    <row r="130" spans="1:20" s="6" customFormat="1" ht="18" customHeight="1" x14ac:dyDescent="0.2">
      <c r="A130" s="7">
        <v>125</v>
      </c>
      <c r="B130" s="8" t="str">
        <v>Region Activity Weekend (RAW)</v>
      </c>
      <c r="C130" s="64" t="str">
        <v/>
      </c>
      <c r="D130" s="9">
        <v>46184</v>
      </c>
      <c r="E130" s="9">
        <v>46186</v>
      </c>
      <c r="F130" s="10">
        <f t="shared" si="3"/>
        <v>1</v>
      </c>
      <c r="G130" s="11" t="str">
        <v>Branch Calendar Event</v>
      </c>
      <c r="H130" s="11">
        <v>0</v>
      </c>
      <c r="I130" s="11"/>
      <c r="J130" s="11"/>
      <c r="K130" s="11"/>
      <c r="L130" s="11"/>
      <c r="M130" s="11"/>
      <c r="N130" s="11"/>
      <c r="O130" s="11"/>
      <c r="P130" s="11"/>
      <c r="Q130" s="11"/>
      <c r="R130" s="11"/>
      <c r="S130" s="11"/>
      <c r="T130" s="11"/>
    </row>
    <row r="131" spans="1:20" s="6" customFormat="1" ht="18" customHeight="1" x14ac:dyDescent="0.2">
      <c r="A131" s="7">
        <v>126</v>
      </c>
      <c r="B131" s="8" t="str">
        <v>Scouting Leadership (Brisbane)</v>
      </c>
      <c r="C131" s="64" t="str">
        <v/>
      </c>
      <c r="D131" s="9">
        <v>46184</v>
      </c>
      <c r="E131" s="9">
        <v>46186</v>
      </c>
      <c r="F131" s="10">
        <f t="shared" si="3"/>
        <v>1</v>
      </c>
      <c r="G131" s="11" t="str">
        <v>Branch Calendar Event</v>
      </c>
      <c r="H131" s="11" t="str">
        <v>Training - AA</v>
      </c>
      <c r="I131" s="11"/>
      <c r="J131" s="11"/>
      <c r="K131" s="11"/>
      <c r="L131" s="11"/>
      <c r="M131" s="11"/>
      <c r="N131" s="11"/>
      <c r="O131" s="11"/>
      <c r="P131" s="11"/>
      <c r="Q131" s="11"/>
      <c r="R131" s="11"/>
      <c r="S131" s="11"/>
      <c r="T131" s="11"/>
    </row>
    <row r="132" spans="1:20" s="6" customFormat="1" ht="18" customHeight="1" x14ac:dyDescent="0.2">
      <c r="A132" s="7">
        <v>127</v>
      </c>
      <c r="B132" s="8" t="str">
        <v>Basic Water Rescue (FNQ)</v>
      </c>
      <c r="C132" s="64" t="str">
        <v/>
      </c>
      <c r="D132" s="9">
        <v>46185</v>
      </c>
      <c r="E132" s="9">
        <v>46185</v>
      </c>
      <c r="F132" s="10">
        <f t="shared" si="3"/>
        <v>1</v>
      </c>
      <c r="G132" s="11" t="str">
        <v>Branch Calendar Event</v>
      </c>
      <c r="H132" s="11" t="str">
        <v>Training - AA</v>
      </c>
      <c r="I132" s="11"/>
      <c r="J132" s="11"/>
      <c r="K132" s="11"/>
      <c r="L132" s="11"/>
      <c r="M132" s="11"/>
      <c r="N132" s="11"/>
      <c r="O132" s="11"/>
      <c r="P132" s="11"/>
      <c r="Q132" s="11"/>
      <c r="R132" s="11"/>
      <c r="S132" s="11"/>
      <c r="T132" s="11"/>
    </row>
    <row r="133" spans="1:20" s="6" customFormat="1" ht="18" customHeight="1" x14ac:dyDescent="0.2">
      <c r="A133" s="7">
        <v>128</v>
      </c>
      <c r="B133" s="8" t="str">
        <v>Branch Scout Section Council</v>
      </c>
      <c r="C133" s="64" t="str">
        <v/>
      </c>
      <c r="D133" s="9">
        <v>46187</v>
      </c>
      <c r="E133" s="9">
        <v>46187</v>
      </c>
      <c r="F133" s="10">
        <f t="shared" si="3"/>
        <v>1</v>
      </c>
      <c r="G133" s="11" t="str">
        <v>Branch Calendar Event</v>
      </c>
      <c r="H133" s="11">
        <v>0</v>
      </c>
      <c r="I133" s="11"/>
      <c r="J133" s="11"/>
      <c r="K133" s="11"/>
      <c r="L133" s="11"/>
      <c r="M133" s="11"/>
      <c r="N133" s="11"/>
      <c r="O133" s="11"/>
      <c r="P133" s="11"/>
      <c r="Q133" s="11"/>
      <c r="R133" s="11"/>
      <c r="S133" s="11"/>
      <c r="T133" s="11"/>
    </row>
    <row r="134" spans="1:20" s="6" customFormat="1" ht="18" customHeight="1" x14ac:dyDescent="0.2">
      <c r="A134" s="7">
        <v>129</v>
      </c>
      <c r="B134" s="8" t="str">
        <v>Branch Finance Committee</v>
      </c>
      <c r="C134" s="64" t="str">
        <v/>
      </c>
      <c r="D134" s="9">
        <v>46187</v>
      </c>
      <c r="E134" s="9">
        <v>46187</v>
      </c>
      <c r="F134" s="10">
        <f t="shared" ref="F134:F197" si="4">IF(OR(ISBLANK(start_date),ISBLANK(end_date)),"",1+ROUND(((EOMONTH(end_date,0)-EOMONTH(start_date,0))/30),0))</f>
        <v>1</v>
      </c>
      <c r="G134" s="11" t="str">
        <v>Branch Calendar Event</v>
      </c>
      <c r="H134" s="11">
        <v>0</v>
      </c>
      <c r="I134" s="11"/>
      <c r="J134" s="11"/>
      <c r="K134" s="11"/>
      <c r="L134" s="11"/>
      <c r="M134" s="11"/>
      <c r="N134" s="11"/>
      <c r="O134" s="11"/>
      <c r="P134" s="11"/>
      <c r="Q134" s="11"/>
      <c r="R134" s="11"/>
      <c r="S134" s="11"/>
      <c r="T134" s="11"/>
    </row>
    <row r="135" spans="1:20" s="6" customFormat="1" ht="18" customHeight="1" x14ac:dyDescent="0.2">
      <c r="A135" s="7">
        <v>130</v>
      </c>
      <c r="B135" s="8" t="str">
        <v>Branch Youth Venturer Scout Council</v>
      </c>
      <c r="C135" s="64" t="str">
        <v/>
      </c>
      <c r="D135" s="9">
        <v>46189</v>
      </c>
      <c r="E135" s="9">
        <v>46189</v>
      </c>
      <c r="F135" s="10">
        <f t="shared" si="4"/>
        <v>1</v>
      </c>
      <c r="G135" s="11" t="str">
        <v>Branch Calendar Event</v>
      </c>
      <c r="H135" s="11">
        <v>0</v>
      </c>
      <c r="I135" s="11"/>
      <c r="J135" s="11"/>
      <c r="K135" s="11"/>
      <c r="L135" s="11"/>
      <c r="M135" s="11"/>
      <c r="N135" s="11"/>
      <c r="O135" s="11"/>
      <c r="P135" s="11"/>
      <c r="Q135" s="11"/>
      <c r="R135" s="11"/>
      <c r="S135" s="11"/>
      <c r="T135" s="11"/>
    </row>
    <row r="136" spans="1:20" s="6" customFormat="1" ht="18" customHeight="1" x14ac:dyDescent="0.2">
      <c r="A136" s="7">
        <v>131</v>
      </c>
      <c r="B136" s="8" t="str">
        <v>Branch Joey Scout Council</v>
      </c>
      <c r="C136" s="64" t="str">
        <v/>
      </c>
      <c r="D136" s="9">
        <v>46189</v>
      </c>
      <c r="E136" s="9">
        <v>46189</v>
      </c>
      <c r="F136" s="10">
        <f t="shared" si="4"/>
        <v>1</v>
      </c>
      <c r="G136" s="11" t="str">
        <v>Branch Calendar Event</v>
      </c>
      <c r="H136" s="11" t="str">
        <v>Joey Scouts</v>
      </c>
      <c r="I136" s="11"/>
      <c r="J136" s="11"/>
      <c r="K136" s="11"/>
      <c r="L136" s="11"/>
      <c r="M136" s="11"/>
      <c r="N136" s="11"/>
      <c r="O136" s="11"/>
      <c r="P136" s="11"/>
      <c r="Q136" s="11"/>
      <c r="R136" s="11"/>
      <c r="S136" s="11"/>
      <c r="T136" s="11"/>
    </row>
    <row r="137" spans="1:20" s="6" customFormat="1" ht="18" customHeight="1" x14ac:dyDescent="0.2">
      <c r="A137" s="7">
        <v>132</v>
      </c>
      <c r="B137" s="8" t="str">
        <v>Branch Cub Scout Section Team Meeting</v>
      </c>
      <c r="C137" s="64" t="str">
        <v/>
      </c>
      <c r="D137" s="9">
        <v>46190</v>
      </c>
      <c r="E137" s="9">
        <v>46190</v>
      </c>
      <c r="F137" s="10">
        <f t="shared" si="4"/>
        <v>1</v>
      </c>
      <c r="G137" s="11" t="str">
        <v>Branch Calendar Event</v>
      </c>
      <c r="H137" s="11" t="str">
        <v>Cub Scouts</v>
      </c>
      <c r="I137" s="11"/>
      <c r="J137" s="11"/>
      <c r="K137" s="11"/>
      <c r="L137" s="11"/>
      <c r="M137" s="11"/>
      <c r="N137" s="11"/>
      <c r="O137" s="11"/>
      <c r="P137" s="11"/>
      <c r="Q137" s="11"/>
      <c r="R137" s="11"/>
      <c r="S137" s="11"/>
      <c r="T137" s="11"/>
    </row>
    <row r="138" spans="1:20" s="6" customFormat="1" ht="18" customHeight="1" x14ac:dyDescent="0.2">
      <c r="A138" s="7">
        <v>133</v>
      </c>
      <c r="B138" s="8" t="str">
        <v>Far North Region Moot</v>
      </c>
      <c r="C138" s="64" t="str">
        <v/>
      </c>
      <c r="D138" s="9">
        <v>46190</v>
      </c>
      <c r="E138" s="9">
        <v>46194</v>
      </c>
      <c r="F138" s="10">
        <f t="shared" si="4"/>
        <v>1</v>
      </c>
      <c r="G138" s="11" t="str">
        <v>Branch Calendar Event</v>
      </c>
      <c r="H138" s="11" t="str">
        <v>Rover Scouts</v>
      </c>
      <c r="I138" s="11"/>
      <c r="J138" s="11"/>
      <c r="K138" s="11"/>
      <c r="L138" s="11"/>
      <c r="M138" s="11"/>
      <c r="N138" s="11"/>
      <c r="O138" s="11"/>
      <c r="P138" s="11"/>
      <c r="Q138" s="11"/>
      <c r="R138" s="11"/>
      <c r="S138" s="11"/>
      <c r="T138" s="11"/>
    </row>
    <row r="139" spans="1:20" s="6" customFormat="1" ht="18" customHeight="1" x14ac:dyDescent="0.2">
      <c r="A139" s="7">
        <v>134</v>
      </c>
      <c r="B139" s="8" t="str">
        <v>Operation Night Owl</v>
      </c>
      <c r="C139" s="64" t="str">
        <v/>
      </c>
      <c r="D139" s="9">
        <v>46192</v>
      </c>
      <c r="E139" s="9">
        <v>46193</v>
      </c>
      <c r="F139" s="10">
        <f t="shared" si="4"/>
        <v>1</v>
      </c>
      <c r="G139" s="11" t="str">
        <v>Branch Calendar Event</v>
      </c>
      <c r="H139" s="11" t="str">
        <v>Scouts</v>
      </c>
      <c r="I139" s="11"/>
      <c r="J139" s="11"/>
      <c r="K139" s="11"/>
      <c r="L139" s="11"/>
      <c r="M139" s="11"/>
      <c r="N139" s="11"/>
      <c r="O139" s="11"/>
      <c r="P139" s="11"/>
      <c r="Q139" s="11"/>
      <c r="R139" s="11"/>
      <c r="S139" s="11"/>
      <c r="T139" s="11"/>
    </row>
    <row r="140" spans="1:20" s="6" customFormat="1" ht="18" customHeight="1" x14ac:dyDescent="0.2">
      <c r="A140" s="7">
        <v>135</v>
      </c>
      <c r="B140" s="8" t="str">
        <v>Queensland Branch Rover Council Meeting</v>
      </c>
      <c r="C140" s="64" t="str">
        <v/>
      </c>
      <c r="D140" s="9">
        <v>46193</v>
      </c>
      <c r="E140" s="9">
        <v>46193</v>
      </c>
      <c r="F140" s="10">
        <f t="shared" si="4"/>
        <v>1</v>
      </c>
      <c r="G140" s="11" t="str">
        <v>Branch Calendar Event</v>
      </c>
      <c r="H140" s="11">
        <v>0</v>
      </c>
      <c r="I140" s="11"/>
      <c r="J140" s="11"/>
      <c r="K140" s="11"/>
      <c r="L140" s="11"/>
      <c r="M140" s="11"/>
      <c r="N140" s="11"/>
      <c r="O140" s="11"/>
      <c r="P140" s="11"/>
      <c r="Q140" s="11"/>
      <c r="R140" s="11"/>
      <c r="S140" s="11"/>
      <c r="T140" s="11"/>
    </row>
    <row r="141" spans="1:20" s="6" customFormat="1" ht="18" customHeight="1" x14ac:dyDescent="0.2">
      <c r="A141" s="7">
        <v>136</v>
      </c>
      <c r="B141" s="8" t="str">
        <v>Branch Executive Committee</v>
      </c>
      <c r="C141" s="64" t="str">
        <v/>
      </c>
      <c r="D141" s="9">
        <v>46195</v>
      </c>
      <c r="E141" s="9">
        <v>46195</v>
      </c>
      <c r="F141" s="10">
        <f t="shared" si="4"/>
        <v>1</v>
      </c>
      <c r="G141" s="11" t="str">
        <v>Branch Calendar Event</v>
      </c>
      <c r="H141" s="11">
        <v>0</v>
      </c>
      <c r="I141" s="11"/>
      <c r="J141" s="11"/>
      <c r="K141" s="11"/>
      <c r="L141" s="11"/>
      <c r="M141" s="11"/>
      <c r="N141" s="11"/>
      <c r="O141" s="11"/>
      <c r="P141" s="11"/>
      <c r="Q141" s="11"/>
      <c r="R141" s="11"/>
      <c r="S141" s="11"/>
      <c r="T141" s="11"/>
    </row>
    <row r="142" spans="1:20" s="6" customFormat="1" ht="18" customHeight="1" x14ac:dyDescent="0.2">
      <c r="A142" s="7">
        <v>137</v>
      </c>
      <c r="B142" s="8" t="str">
        <v>Darling Downs Revue</v>
      </c>
      <c r="C142" s="64" t="str">
        <v/>
      </c>
      <c r="D142" s="9">
        <v>46198</v>
      </c>
      <c r="E142" s="9">
        <v>46199</v>
      </c>
      <c r="F142" s="10">
        <f t="shared" si="4"/>
        <v>1</v>
      </c>
      <c r="G142" s="11" t="str">
        <v>Branch Calendar Event</v>
      </c>
      <c r="H142" s="11">
        <v>0</v>
      </c>
      <c r="I142" s="11"/>
      <c r="J142" s="11"/>
      <c r="K142" s="11"/>
      <c r="L142" s="11"/>
      <c r="M142" s="11"/>
      <c r="N142" s="11"/>
      <c r="O142" s="11"/>
      <c r="P142" s="11"/>
      <c r="Q142" s="11"/>
      <c r="R142" s="11"/>
      <c r="S142" s="11"/>
      <c r="T142" s="11"/>
    </row>
    <row r="143" spans="1:20" s="6" customFormat="1" ht="18" customHeight="1" x14ac:dyDescent="0.2">
      <c r="A143" s="7">
        <v>138</v>
      </c>
      <c r="B143" s="8" t="str">
        <v>Vertical - Abseiling (Natural Surfaces) SP (FNR)</v>
      </c>
      <c r="C143" s="64" t="str">
        <v/>
      </c>
      <c r="D143" s="9">
        <v>46199</v>
      </c>
      <c r="E143" s="9">
        <v>46200</v>
      </c>
      <c r="F143" s="10">
        <f t="shared" si="4"/>
        <v>1</v>
      </c>
      <c r="G143" s="11" t="str">
        <v>Branch Calendar Event</v>
      </c>
      <c r="H143" s="11" t="str">
        <v>Training - AA</v>
      </c>
      <c r="I143" s="11"/>
      <c r="J143" s="11"/>
      <c r="K143" s="11"/>
      <c r="L143" s="11"/>
      <c r="M143" s="11"/>
      <c r="N143" s="11"/>
      <c r="O143" s="11"/>
      <c r="P143" s="11"/>
      <c r="Q143" s="11"/>
      <c r="R143" s="11"/>
      <c r="S143" s="11"/>
      <c r="T143" s="11"/>
    </row>
    <row r="144" spans="1:20" s="6" customFormat="1" ht="18" customHeight="1" x14ac:dyDescent="0.2">
      <c r="A144" s="7">
        <v>139</v>
      </c>
      <c r="B144" s="8" t="str">
        <v>LEAP North (Townsville)</v>
      </c>
      <c r="C144" s="64" t="str">
        <v/>
      </c>
      <c r="D144" s="9">
        <v>46200</v>
      </c>
      <c r="E144" s="9">
        <v>46206</v>
      </c>
      <c r="F144" s="10">
        <f t="shared" si="4"/>
        <v>2</v>
      </c>
      <c r="G144" s="11" t="str">
        <v>Youth Program Event</v>
      </c>
      <c r="H144" s="11">
        <v>0</v>
      </c>
      <c r="I144" s="11"/>
      <c r="J144" s="11"/>
      <c r="K144" s="11"/>
      <c r="L144" s="11"/>
      <c r="M144" s="11"/>
      <c r="N144" s="11"/>
      <c r="O144" s="11"/>
      <c r="P144" s="11"/>
      <c r="Q144" s="11"/>
      <c r="R144" s="11"/>
      <c r="S144" s="11"/>
      <c r="T144" s="11"/>
    </row>
    <row r="145" spans="1:20" s="6" customFormat="1" ht="18" customHeight="1" x14ac:dyDescent="0.2">
      <c r="A145" s="7">
        <v>140</v>
      </c>
      <c r="B145" s="8" t="str">
        <v>School Holidays (July)</v>
      </c>
      <c r="C145" s="64" t="str">
        <v/>
      </c>
      <c r="D145" s="9">
        <v>46200</v>
      </c>
      <c r="E145" s="9">
        <v>46217</v>
      </c>
      <c r="F145" s="10">
        <f t="shared" si="4"/>
        <v>2</v>
      </c>
      <c r="G145" s="11" t="str">
        <v>Reference</v>
      </c>
      <c r="H145" s="11">
        <v>0</v>
      </c>
      <c r="I145" s="11"/>
      <c r="J145" s="11"/>
      <c r="K145" s="11"/>
      <c r="L145" s="11"/>
      <c r="M145" s="11"/>
      <c r="N145" s="11"/>
      <c r="O145" s="11"/>
      <c r="P145" s="11"/>
      <c r="Q145" s="11"/>
      <c r="R145" s="11"/>
      <c r="S145" s="11"/>
      <c r="T145" s="11"/>
    </row>
    <row r="146" spans="1:20" s="6" customFormat="1" ht="18" customHeight="1" x14ac:dyDescent="0.2">
      <c r="A146" s="7">
        <v>141</v>
      </c>
      <c r="B146" s="8" t="str">
        <v>Youth Awards Submission Deadline</v>
      </c>
      <c r="C146" s="64" t="str">
        <v/>
      </c>
      <c r="D146" s="9">
        <v>46202</v>
      </c>
      <c r="E146" s="9">
        <v>46202</v>
      </c>
      <c r="F146" s="10">
        <f t="shared" si="4"/>
        <v>1</v>
      </c>
      <c r="G146" s="11" t="str">
        <v>Branch Calendar Event</v>
      </c>
      <c r="H146" s="11">
        <v>0</v>
      </c>
      <c r="I146" s="11"/>
      <c r="J146" s="11"/>
      <c r="K146" s="11"/>
      <c r="L146" s="11"/>
      <c r="M146" s="11"/>
      <c r="N146" s="11"/>
      <c r="O146" s="11"/>
      <c r="P146" s="11"/>
      <c r="Q146" s="11"/>
      <c r="R146" s="11"/>
      <c r="S146" s="11"/>
      <c r="T146" s="11"/>
    </row>
    <row r="147" spans="1:20" s="6" customFormat="1" ht="18" customHeight="1" x14ac:dyDescent="0.2">
      <c r="A147" s="7">
        <v>142</v>
      </c>
      <c r="B147" s="8" t="str">
        <v>Preparing for Launch (Achievement Pathways Improvements (2026))</v>
      </c>
      <c r="C147" s="64" t="str">
        <v>Achievement Pathways Improvements (2026)</v>
      </c>
      <c r="D147" s="9">
        <v>46203</v>
      </c>
      <c r="E147" s="9">
        <v>46264</v>
      </c>
      <c r="F147" s="10">
        <f t="shared" si="4"/>
        <v>3</v>
      </c>
      <c r="G147" s="11" t="str">
        <v>Prep</v>
      </c>
      <c r="H147" s="11">
        <v>0</v>
      </c>
      <c r="I147" s="11"/>
      <c r="J147" s="11"/>
      <c r="K147" s="11"/>
      <c r="L147" s="11"/>
      <c r="M147" s="11"/>
      <c r="N147" s="11"/>
      <c r="O147" s="11"/>
      <c r="P147" s="11"/>
      <c r="Q147" s="11"/>
      <c r="R147" s="11"/>
      <c r="S147" s="11"/>
      <c r="T147" s="11"/>
    </row>
    <row r="148" spans="1:20" s="6" customFormat="1" ht="18" customHeight="1" x14ac:dyDescent="0.2">
      <c r="A148" s="7">
        <v>143</v>
      </c>
      <c r="B148" s="8" t="str">
        <v>Snorkelling - SP/Guide (Sunshine Coast)</v>
      </c>
      <c r="C148" s="64" t="str">
        <v/>
      </c>
      <c r="D148" s="9">
        <v>46205</v>
      </c>
      <c r="E148" s="9">
        <v>46236</v>
      </c>
      <c r="F148" s="10">
        <f t="shared" si="4"/>
        <v>2</v>
      </c>
      <c r="G148" s="11" t="str">
        <v>Branch Calendar Event</v>
      </c>
      <c r="H148" s="11" t="str">
        <v>Training - AA</v>
      </c>
      <c r="I148" s="11"/>
      <c r="J148" s="11"/>
      <c r="K148" s="11"/>
      <c r="L148" s="11"/>
      <c r="M148" s="11"/>
      <c r="N148" s="11"/>
      <c r="O148" s="11"/>
      <c r="P148" s="11"/>
      <c r="Q148" s="11"/>
      <c r="R148" s="11"/>
      <c r="S148" s="11"/>
      <c r="T148" s="11"/>
    </row>
    <row r="149" spans="1:20" s="6" customFormat="1" ht="18" customHeight="1" x14ac:dyDescent="0.2">
      <c r="A149" s="7">
        <v>144</v>
      </c>
      <c r="B149" s="8" t="str">
        <v>Basic Water Rescue (FNR)</v>
      </c>
      <c r="C149" s="64" t="str">
        <v/>
      </c>
      <c r="D149" s="9">
        <v>46205</v>
      </c>
      <c r="E149" s="9">
        <v>46205</v>
      </c>
      <c r="F149" s="10">
        <f t="shared" si="4"/>
        <v>1</v>
      </c>
      <c r="G149" s="11" t="str">
        <v>Branch Calendar Event</v>
      </c>
      <c r="H149" s="11" t="str">
        <v>Training - AA</v>
      </c>
      <c r="I149" s="11"/>
      <c r="J149" s="11"/>
      <c r="K149" s="11"/>
      <c r="L149" s="11"/>
      <c r="M149" s="11"/>
      <c r="N149" s="11"/>
      <c r="O149" s="11"/>
      <c r="P149" s="11"/>
      <c r="Q149" s="11"/>
      <c r="R149" s="11"/>
      <c r="S149" s="11"/>
      <c r="T149" s="11"/>
    </row>
    <row r="150" spans="1:20" s="6" customFormat="1" ht="18" customHeight="1" x14ac:dyDescent="0.2">
      <c r="A150" s="7">
        <v>145</v>
      </c>
      <c r="B150" s="8" t="str">
        <v>LEAP South (Brisbane)</v>
      </c>
      <c r="C150" s="64" t="str">
        <v/>
      </c>
      <c r="D150" s="9">
        <v>46205</v>
      </c>
      <c r="E150" s="9">
        <v>46209</v>
      </c>
      <c r="F150" s="10">
        <f t="shared" si="4"/>
        <v>1</v>
      </c>
      <c r="G150" s="11" t="str">
        <v>Youth Program Event</v>
      </c>
      <c r="H150" s="11">
        <v>0</v>
      </c>
      <c r="I150" s="11"/>
      <c r="J150" s="11"/>
      <c r="K150" s="11"/>
      <c r="L150" s="11"/>
      <c r="M150" s="11"/>
      <c r="N150" s="11"/>
      <c r="O150" s="11"/>
      <c r="P150" s="11"/>
      <c r="Q150" s="11"/>
      <c r="R150" s="11"/>
      <c r="S150" s="11"/>
      <c r="T150" s="11"/>
    </row>
    <row r="151" spans="1:20" s="6" customFormat="1" ht="18" customHeight="1" x14ac:dyDescent="0.2">
      <c r="A151" s="7">
        <v>146</v>
      </c>
      <c r="B151" s="8" t="str">
        <v>Scouting Adventure (Brisbane)</v>
      </c>
      <c r="C151" s="64" t="str">
        <v/>
      </c>
      <c r="D151" s="9">
        <v>46212</v>
      </c>
      <c r="E151" s="9">
        <v>46214</v>
      </c>
      <c r="F151" s="10">
        <f t="shared" si="4"/>
        <v>1</v>
      </c>
      <c r="G151" s="11" t="str">
        <v>Branch Calendar Event</v>
      </c>
      <c r="H151" s="11" t="str">
        <v>Training - AA</v>
      </c>
      <c r="I151" s="11"/>
      <c r="J151" s="11"/>
      <c r="K151" s="11"/>
      <c r="L151" s="11"/>
      <c r="M151" s="11"/>
      <c r="N151" s="11"/>
      <c r="O151" s="11"/>
      <c r="P151" s="11"/>
      <c r="Q151" s="11"/>
      <c r="R151" s="11"/>
      <c r="S151" s="11"/>
      <c r="T151" s="11"/>
    </row>
    <row r="152" spans="1:20" s="6" customFormat="1" ht="18" customHeight="1" x14ac:dyDescent="0.2">
      <c r="A152" s="7">
        <v>147</v>
      </c>
      <c r="B152" s="8" t="str">
        <v>Scouting Essentials (Brisbane)</v>
      </c>
      <c r="C152" s="64" t="str">
        <v/>
      </c>
      <c r="D152" s="9">
        <v>46212</v>
      </c>
      <c r="E152" s="9">
        <v>46214</v>
      </c>
      <c r="F152" s="10">
        <f t="shared" si="4"/>
        <v>1</v>
      </c>
      <c r="G152" s="11" t="str">
        <v>Branch Calendar Event</v>
      </c>
      <c r="H152" s="11" t="str">
        <v>Training - AA</v>
      </c>
      <c r="I152" s="11"/>
      <c r="J152" s="11"/>
      <c r="K152" s="11"/>
      <c r="L152" s="11"/>
      <c r="M152" s="11"/>
      <c r="N152" s="11"/>
      <c r="O152" s="11"/>
      <c r="P152" s="11"/>
      <c r="Q152" s="11"/>
      <c r="R152" s="11"/>
      <c r="S152" s="11"/>
      <c r="T152" s="11"/>
    </row>
    <row r="153" spans="1:20" s="6" customFormat="1" ht="18" customHeight="1" x14ac:dyDescent="0.2">
      <c r="A153" s="7">
        <v>148</v>
      </c>
      <c r="B153" s="8" t="str">
        <v>Kokoda Junior Games</v>
      </c>
      <c r="C153" s="64" t="str">
        <v/>
      </c>
      <c r="D153" s="9">
        <v>46213</v>
      </c>
      <c r="E153" s="9">
        <v>46213</v>
      </c>
      <c r="F153" s="10">
        <f t="shared" si="4"/>
        <v>1</v>
      </c>
      <c r="G153" s="11" t="str">
        <v>Branch Calendar Event</v>
      </c>
      <c r="H153" s="11">
        <v>0</v>
      </c>
      <c r="I153" s="11"/>
      <c r="J153" s="11"/>
      <c r="K153" s="11"/>
      <c r="L153" s="11"/>
      <c r="M153" s="11"/>
      <c r="N153" s="11"/>
      <c r="O153" s="11"/>
      <c r="P153" s="11"/>
      <c r="Q153" s="11"/>
      <c r="R153" s="11"/>
      <c r="S153" s="11"/>
      <c r="T153" s="11"/>
    </row>
    <row r="154" spans="1:20" s="6" customFormat="1" ht="18" customHeight="1" x14ac:dyDescent="0.2">
      <c r="A154" s="7">
        <v>149</v>
      </c>
      <c r="B154" s="8" t="str">
        <v>Branch Youth Venturer Scout Council</v>
      </c>
      <c r="C154" s="64" t="str">
        <v/>
      </c>
      <c r="D154" s="9">
        <v>46217</v>
      </c>
      <c r="E154" s="9">
        <v>46217</v>
      </c>
      <c r="F154" s="10">
        <f t="shared" si="4"/>
        <v>1</v>
      </c>
      <c r="G154" s="11" t="str">
        <v>Youth Program Event</v>
      </c>
      <c r="H154" s="11">
        <v>0</v>
      </c>
      <c r="I154" s="11"/>
      <c r="J154" s="11"/>
      <c r="K154" s="11"/>
      <c r="L154" s="11"/>
      <c r="M154" s="11"/>
      <c r="N154" s="11"/>
      <c r="O154" s="11"/>
      <c r="P154" s="11"/>
      <c r="Q154" s="11"/>
      <c r="R154" s="11"/>
      <c r="S154" s="11"/>
      <c r="T154" s="11"/>
    </row>
    <row r="155" spans="1:20" s="6" customFormat="1" ht="18" customHeight="1" x14ac:dyDescent="0.2">
      <c r="A155" s="7">
        <v>150</v>
      </c>
      <c r="B155" s="8" t="str">
        <v>Branch Joey Scout Council</v>
      </c>
      <c r="C155" s="64" t="str">
        <v/>
      </c>
      <c r="D155" s="9">
        <v>46217</v>
      </c>
      <c r="E155" s="9">
        <v>46217</v>
      </c>
      <c r="F155" s="10">
        <f t="shared" si="4"/>
        <v>1</v>
      </c>
      <c r="G155" s="11" t="str">
        <v>Youth Program Event</v>
      </c>
      <c r="H155" s="11" t="str">
        <v>Joey Scouts</v>
      </c>
      <c r="I155" s="11"/>
      <c r="J155" s="11"/>
      <c r="K155" s="11"/>
      <c r="L155" s="11"/>
      <c r="M155" s="11"/>
      <c r="N155" s="11"/>
      <c r="O155" s="11"/>
      <c r="P155" s="11"/>
      <c r="Q155" s="11"/>
      <c r="R155" s="11"/>
      <c r="S155" s="11"/>
      <c r="T155" s="11"/>
    </row>
    <row r="156" spans="1:20" s="6" customFormat="1" ht="18" customHeight="1" x14ac:dyDescent="0.2">
      <c r="A156" s="7">
        <v>151</v>
      </c>
      <c r="B156" s="8" t="str">
        <v>C5 signed off</v>
      </c>
      <c r="C156" s="64" t="str">
        <v/>
      </c>
      <c r="D156" s="9">
        <v>46218</v>
      </c>
      <c r="E156" s="9">
        <v>46219</v>
      </c>
      <c r="F156" s="10">
        <f t="shared" si="4"/>
        <v>1</v>
      </c>
      <c r="G156" s="11">
        <v>0</v>
      </c>
      <c r="H156" s="11">
        <v>0</v>
      </c>
      <c r="I156" s="11"/>
      <c r="J156" s="11"/>
      <c r="K156" s="11"/>
      <c r="L156" s="11"/>
      <c r="M156" s="11"/>
      <c r="N156" s="11"/>
      <c r="O156" s="11"/>
      <c r="P156" s="11"/>
      <c r="Q156" s="11"/>
      <c r="R156" s="11"/>
      <c r="S156" s="11"/>
      <c r="T156" s="11"/>
    </row>
    <row r="157" spans="1:20" s="6" customFormat="1" ht="18" customHeight="1" x14ac:dyDescent="0.2">
      <c r="A157" s="7">
        <v>152</v>
      </c>
      <c r="B157" s="8" t="str">
        <v>Branch Cub Scout Section Team Meeting</v>
      </c>
      <c r="C157" s="64" t="str">
        <v/>
      </c>
      <c r="D157" s="9">
        <v>46218</v>
      </c>
      <c r="E157" s="9">
        <v>46218</v>
      </c>
      <c r="F157" s="10">
        <f t="shared" si="4"/>
        <v>1</v>
      </c>
      <c r="G157" s="11" t="str">
        <v>Youth Program Event</v>
      </c>
      <c r="H157" s="11" t="str">
        <v>Cub Scouts</v>
      </c>
      <c r="I157" s="11"/>
      <c r="J157" s="11"/>
      <c r="K157" s="11"/>
      <c r="L157" s="11"/>
      <c r="M157" s="11"/>
      <c r="N157" s="11"/>
      <c r="O157" s="11"/>
      <c r="P157" s="11"/>
      <c r="Q157" s="11"/>
      <c r="R157" s="11"/>
      <c r="S157" s="11"/>
      <c r="T157" s="11"/>
    </row>
    <row r="158" spans="1:20" s="6" customFormat="1" ht="18" customHeight="1" x14ac:dyDescent="0.2">
      <c r="A158" s="7">
        <v>153</v>
      </c>
      <c r="B158" s="8" t="str">
        <v>Scouting Adventure (Townsville)</v>
      </c>
      <c r="C158" s="64" t="str">
        <v/>
      </c>
      <c r="D158" s="9">
        <v>46219</v>
      </c>
      <c r="E158" s="9">
        <v>46221</v>
      </c>
      <c r="F158" s="10">
        <f t="shared" si="4"/>
        <v>1</v>
      </c>
      <c r="G158" s="11" t="str">
        <v>Branch Calendar Event</v>
      </c>
      <c r="H158" s="11" t="str">
        <v>Training - AA</v>
      </c>
      <c r="I158" s="11"/>
      <c r="J158" s="11"/>
      <c r="K158" s="11"/>
      <c r="L158" s="11"/>
      <c r="M158" s="11"/>
      <c r="N158" s="11"/>
      <c r="O158" s="11"/>
      <c r="P158" s="11"/>
      <c r="Q158" s="11"/>
      <c r="R158" s="11"/>
      <c r="S158" s="11"/>
      <c r="T158" s="11"/>
    </row>
    <row r="159" spans="1:20" s="6" customFormat="1" ht="18" customHeight="1" x14ac:dyDescent="0.2">
      <c r="A159" s="7">
        <v>154</v>
      </c>
      <c r="B159" s="8" t="str">
        <v>Scouting Leadership (Rockhampton)</v>
      </c>
      <c r="C159" s="64" t="str">
        <v/>
      </c>
      <c r="D159" s="9">
        <v>46219</v>
      </c>
      <c r="E159" s="9">
        <v>46221</v>
      </c>
      <c r="F159" s="10">
        <f t="shared" si="4"/>
        <v>1</v>
      </c>
      <c r="G159" s="11" t="str">
        <v>Branch Calendar Event</v>
      </c>
      <c r="H159" s="11" t="str">
        <v>Training - AA</v>
      </c>
      <c r="I159" s="11"/>
      <c r="J159" s="11"/>
      <c r="K159" s="11"/>
      <c r="L159" s="11"/>
      <c r="M159" s="11"/>
      <c r="N159" s="11"/>
      <c r="O159" s="11"/>
      <c r="P159" s="11"/>
      <c r="Q159" s="11"/>
      <c r="R159" s="11"/>
      <c r="S159" s="11"/>
      <c r="T159" s="11"/>
    </row>
    <row r="160" spans="1:20" s="6" customFormat="1" ht="18" customHeight="1" x14ac:dyDescent="0.2">
      <c r="A160" s="7">
        <v>155</v>
      </c>
      <c r="B160" s="8" t="str">
        <v>Queensland Branch Rover Council Annual Conference</v>
      </c>
      <c r="C160" s="64" t="str">
        <v/>
      </c>
      <c r="D160" s="9">
        <v>46219</v>
      </c>
      <c r="E160" s="9">
        <v>46221</v>
      </c>
      <c r="F160" s="10">
        <f t="shared" si="4"/>
        <v>1</v>
      </c>
      <c r="G160" s="11" t="str">
        <v>Youth Program Event</v>
      </c>
      <c r="H160" s="11">
        <v>0</v>
      </c>
      <c r="I160" s="11"/>
      <c r="J160" s="11"/>
      <c r="K160" s="11"/>
      <c r="L160" s="11"/>
      <c r="M160" s="11"/>
      <c r="N160" s="11"/>
      <c r="O160" s="11"/>
      <c r="P160" s="11"/>
      <c r="Q160" s="11"/>
      <c r="R160" s="11"/>
      <c r="S160" s="11"/>
      <c r="T160" s="11"/>
    </row>
    <row r="161" spans="1:20" s="6" customFormat="1" ht="18" customHeight="1" x14ac:dyDescent="0.2">
      <c r="A161" s="7">
        <v>156</v>
      </c>
      <c r="B161" s="8" t="str">
        <v>District Commissioners Conference</v>
      </c>
      <c r="C161" s="64" t="str">
        <v/>
      </c>
      <c r="D161" s="9">
        <v>46219</v>
      </c>
      <c r="E161" s="9">
        <v>46221</v>
      </c>
      <c r="F161" s="10">
        <f t="shared" si="4"/>
        <v>1</v>
      </c>
      <c r="G161" s="11" t="str">
        <v>Youth Program Event</v>
      </c>
      <c r="H161" s="11">
        <v>0</v>
      </c>
      <c r="I161" s="11"/>
      <c r="J161" s="11"/>
      <c r="K161" s="11"/>
      <c r="L161" s="11"/>
      <c r="M161" s="11"/>
      <c r="N161" s="11"/>
      <c r="O161" s="11"/>
      <c r="P161" s="11"/>
      <c r="Q161" s="11"/>
      <c r="R161" s="11"/>
      <c r="S161" s="11"/>
      <c r="T161" s="11"/>
    </row>
    <row r="162" spans="1:20" s="6" customFormat="1" ht="18" customHeight="1" x14ac:dyDescent="0.2">
      <c r="A162" s="7">
        <v>157</v>
      </c>
      <c r="B162" s="8" t="str">
        <v>Branch Youth Council Launch</v>
      </c>
      <c r="C162" s="64" t="str">
        <v/>
      </c>
      <c r="D162" s="9">
        <v>46219</v>
      </c>
      <c r="E162" s="9">
        <v>46221</v>
      </c>
      <c r="F162" s="10">
        <f t="shared" si="4"/>
        <v>1</v>
      </c>
      <c r="G162" s="11" t="str">
        <v>Youth Program Event</v>
      </c>
      <c r="H162" s="11">
        <v>0</v>
      </c>
      <c r="I162" s="11"/>
      <c r="J162" s="11"/>
      <c r="K162" s="11"/>
      <c r="L162" s="11"/>
      <c r="M162" s="11"/>
      <c r="N162" s="11"/>
      <c r="O162" s="11"/>
      <c r="P162" s="11"/>
      <c r="Q162" s="11"/>
      <c r="R162" s="11"/>
      <c r="S162" s="11"/>
      <c r="T162" s="11"/>
    </row>
    <row r="163" spans="1:20" s="6" customFormat="1" ht="18" customHeight="1" x14ac:dyDescent="0.2">
      <c r="A163" s="7">
        <v>158</v>
      </c>
      <c r="B163" s="8" t="str">
        <v>Region Commissioners Conference</v>
      </c>
      <c r="C163" s="64" t="str">
        <v/>
      </c>
      <c r="D163" s="9">
        <v>46219</v>
      </c>
      <c r="E163" s="9">
        <v>46221</v>
      </c>
      <c r="F163" s="10">
        <f t="shared" si="4"/>
        <v>1</v>
      </c>
      <c r="G163" s="11" t="str">
        <v>Youth Program Event</v>
      </c>
      <c r="H163" s="11">
        <v>0</v>
      </c>
      <c r="I163" s="11"/>
      <c r="J163" s="11"/>
      <c r="K163" s="11"/>
      <c r="L163" s="11"/>
      <c r="M163" s="11"/>
      <c r="N163" s="11"/>
      <c r="O163" s="11"/>
      <c r="P163" s="11"/>
      <c r="Q163" s="11"/>
      <c r="R163" s="11"/>
      <c r="S163" s="11"/>
      <c r="T163" s="11"/>
    </row>
    <row r="164" spans="1:20" s="6" customFormat="1" ht="18" customHeight="1" x14ac:dyDescent="0.2">
      <c r="A164" s="7">
        <v>159</v>
      </c>
      <c r="B164" s="8" t="str">
        <v>Scout Shop provided with updated artwork for Record Books and Program Handbook, to enable start of production (Achievement Pathways Improvements (2026))</v>
      </c>
      <c r="C164" s="64" t="str">
        <v>Achievement Pathways Improvements (2026)</v>
      </c>
      <c r="D164" s="9">
        <v>46219</v>
      </c>
      <c r="E164" s="9">
        <v>46219</v>
      </c>
      <c r="F164" s="10">
        <f t="shared" si="4"/>
        <v>1</v>
      </c>
      <c r="G164" s="11" t="str">
        <v>Prep</v>
      </c>
      <c r="H164" s="11">
        <v>0</v>
      </c>
      <c r="I164" s="11"/>
      <c r="J164" s="11"/>
      <c r="K164" s="11"/>
      <c r="L164" s="11"/>
      <c r="M164" s="11"/>
      <c r="N164" s="11"/>
      <c r="O164" s="11"/>
      <c r="P164" s="11"/>
      <c r="Q164" s="11"/>
      <c r="R164" s="11"/>
      <c r="S164" s="11"/>
      <c r="T164" s="11"/>
    </row>
    <row r="165" spans="1:20" s="6" customFormat="1" ht="18" customHeight="1" x14ac:dyDescent="0.2">
      <c r="A165" s="7">
        <v>160</v>
      </c>
      <c r="B165" s="8" t="str">
        <v>Queensland Branch Rover Council Meeting</v>
      </c>
      <c r="C165" s="64" t="str">
        <v/>
      </c>
      <c r="D165" s="9">
        <v>46221</v>
      </c>
      <c r="E165" s="9">
        <v>46221</v>
      </c>
      <c r="F165" s="10">
        <f t="shared" si="4"/>
        <v>1</v>
      </c>
      <c r="G165" s="11" t="str">
        <v>Youth Program Event</v>
      </c>
      <c r="H165" s="11">
        <v>0</v>
      </c>
      <c r="I165" s="11"/>
      <c r="J165" s="11"/>
      <c r="K165" s="11"/>
      <c r="L165" s="11"/>
      <c r="M165" s="11"/>
      <c r="N165" s="11"/>
      <c r="O165" s="11"/>
      <c r="P165" s="11"/>
      <c r="Q165" s="11"/>
      <c r="R165" s="11"/>
      <c r="S165" s="11"/>
      <c r="T165" s="11"/>
    </row>
    <row r="166" spans="1:20" s="6" customFormat="1" ht="18" customHeight="1" x14ac:dyDescent="0.2">
      <c r="A166" s="7">
        <v>161</v>
      </c>
      <c r="B166" s="8" t="str">
        <v>Tyakunda Trailblazer</v>
      </c>
      <c r="C166" s="64" t="str">
        <v/>
      </c>
      <c r="D166" s="9">
        <v>46221</v>
      </c>
      <c r="E166" s="9">
        <v>46221</v>
      </c>
      <c r="F166" s="10">
        <f t="shared" si="4"/>
        <v>1</v>
      </c>
      <c r="G166" s="11" t="str">
        <v>Youth Program Event</v>
      </c>
      <c r="H166" s="11" t="str">
        <v>Section : Cub Scouts|Section : Joey Scouts|Section : Venturer Scouts|Section: Rover Scouts|Section: Scouts</v>
      </c>
      <c r="I166" s="11"/>
      <c r="J166" s="11"/>
      <c r="K166" s="11"/>
      <c r="L166" s="11"/>
      <c r="M166" s="11"/>
      <c r="N166" s="11"/>
      <c r="O166" s="11"/>
      <c r="P166" s="11"/>
      <c r="Q166" s="11"/>
      <c r="R166" s="11"/>
      <c r="S166" s="11"/>
      <c r="T166" s="11"/>
    </row>
    <row r="167" spans="1:20" s="6" customFormat="1" ht="18" customHeight="1" x14ac:dyDescent="0.2">
      <c r="A167" s="7">
        <v>162</v>
      </c>
      <c r="B167" s="8" t="str">
        <v>Branch Scout Section Council</v>
      </c>
      <c r="C167" s="64" t="str">
        <v/>
      </c>
      <c r="D167" s="9">
        <v>46222</v>
      </c>
      <c r="E167" s="9">
        <v>46222</v>
      </c>
      <c r="F167" s="10">
        <f t="shared" si="4"/>
        <v>1</v>
      </c>
      <c r="G167" s="11" t="str">
        <v>Youth Program Event</v>
      </c>
      <c r="H167" s="11">
        <v>0</v>
      </c>
      <c r="I167" s="11"/>
      <c r="J167" s="11"/>
      <c r="K167" s="11"/>
      <c r="L167" s="11"/>
      <c r="M167" s="11"/>
      <c r="N167" s="11"/>
      <c r="O167" s="11"/>
      <c r="P167" s="11"/>
      <c r="Q167" s="11"/>
      <c r="R167" s="11"/>
      <c r="S167" s="11"/>
      <c r="T167" s="11"/>
    </row>
    <row r="168" spans="1:20" s="6" customFormat="1" ht="18" customHeight="1" x14ac:dyDescent="0.2">
      <c r="A168" s="7">
        <v>163</v>
      </c>
      <c r="B168" s="8" t="str">
        <v>Branch Finance Committee</v>
      </c>
      <c r="C168" s="64" t="str">
        <v/>
      </c>
      <c r="D168" s="9">
        <v>46222</v>
      </c>
      <c r="E168" s="9">
        <v>46222</v>
      </c>
      <c r="F168" s="10">
        <f t="shared" si="4"/>
        <v>1</v>
      </c>
      <c r="G168" s="11" t="str">
        <v>Branch Calendar Event</v>
      </c>
      <c r="H168" s="11">
        <v>0</v>
      </c>
      <c r="I168" s="11"/>
      <c r="J168" s="11"/>
      <c r="K168" s="11"/>
      <c r="L168" s="11"/>
      <c r="M168" s="11"/>
      <c r="N168" s="11"/>
      <c r="O168" s="11"/>
      <c r="P168" s="11"/>
      <c r="Q168" s="11"/>
      <c r="R168" s="11"/>
      <c r="S168" s="11"/>
      <c r="T168" s="11"/>
    </row>
    <row r="169" spans="1:20" s="6" customFormat="1" ht="18" customHeight="1" x14ac:dyDescent="0.2">
      <c r="A169" s="7">
        <v>164</v>
      </c>
      <c r="B169" s="8" t="str">
        <v>Scouting Management - Group Leaders (Online)</v>
      </c>
      <c r="C169" s="64" t="str">
        <v/>
      </c>
      <c r="D169" s="9">
        <v>46223</v>
      </c>
      <c r="E169" s="9">
        <v>46223</v>
      </c>
      <c r="F169" s="10">
        <f t="shared" si="4"/>
        <v>1</v>
      </c>
      <c r="G169" s="11" t="str">
        <v>Branch Calendar Event</v>
      </c>
      <c r="H169" s="11" t="str">
        <v>Training - AA</v>
      </c>
      <c r="I169" s="11"/>
      <c r="J169" s="11"/>
      <c r="K169" s="11"/>
      <c r="L169" s="11"/>
      <c r="M169" s="11"/>
      <c r="N169" s="11"/>
      <c r="O169" s="11"/>
      <c r="P169" s="11"/>
      <c r="Q169" s="11"/>
      <c r="R169" s="11"/>
      <c r="S169" s="11"/>
      <c r="T169" s="11"/>
    </row>
    <row r="170" spans="1:20" s="6" customFormat="1" ht="18" customHeight="1" x14ac:dyDescent="0.2">
      <c r="A170" s="7">
        <v>165</v>
      </c>
      <c r="B170" s="8" t="str">
        <v>Adventurous Activities Conference</v>
      </c>
      <c r="C170" s="64" t="str">
        <v/>
      </c>
      <c r="D170" s="9">
        <v>46226</v>
      </c>
      <c r="E170" s="9">
        <v>46228</v>
      </c>
      <c r="F170" s="10">
        <f t="shared" si="4"/>
        <v>1</v>
      </c>
      <c r="G170" s="11" t="str">
        <v>Youth Program Event</v>
      </c>
      <c r="H170" s="11">
        <v>0</v>
      </c>
      <c r="I170" s="11"/>
      <c r="J170" s="11"/>
      <c r="K170" s="11"/>
      <c r="L170" s="11"/>
      <c r="M170" s="11"/>
      <c r="N170" s="11"/>
      <c r="O170" s="11"/>
      <c r="P170" s="11"/>
      <c r="Q170" s="11"/>
      <c r="R170" s="11"/>
      <c r="S170" s="11"/>
      <c r="T170" s="11"/>
    </row>
    <row r="171" spans="1:20" s="6" customFormat="1" ht="18" customHeight="1" x14ac:dyDescent="0.2">
      <c r="A171" s="7">
        <v>166</v>
      </c>
      <c r="B171" s="8" t="str">
        <v>Branch Executive Committee</v>
      </c>
      <c r="C171" s="64" t="str">
        <v/>
      </c>
      <c r="D171" s="9">
        <v>46230</v>
      </c>
      <c r="E171" s="9">
        <v>46230</v>
      </c>
      <c r="F171" s="10">
        <f t="shared" si="4"/>
        <v>1</v>
      </c>
      <c r="G171" s="11" t="str">
        <v>Branch Calendar Event</v>
      </c>
      <c r="H171" s="11">
        <v>0</v>
      </c>
      <c r="I171" s="11"/>
      <c r="J171" s="11"/>
      <c r="K171" s="11"/>
      <c r="L171" s="11"/>
      <c r="M171" s="11"/>
      <c r="N171" s="11"/>
      <c r="O171" s="11"/>
      <c r="P171" s="11"/>
      <c r="Q171" s="11"/>
      <c r="R171" s="11"/>
      <c r="S171" s="11"/>
      <c r="T171" s="11"/>
    </row>
    <row r="172" spans="1:20" s="6" customFormat="1" ht="18" customHeight="1" x14ac:dyDescent="0.2">
      <c r="A172" s="7">
        <v>167</v>
      </c>
      <c r="B172" s="8" t="str">
        <v>Branch Council (AGM)</v>
      </c>
      <c r="C172" s="64" t="str">
        <v/>
      </c>
      <c r="D172" s="9">
        <v>46232</v>
      </c>
      <c r="E172" s="9">
        <v>46232</v>
      </c>
      <c r="F172" s="10">
        <f t="shared" si="4"/>
        <v>1</v>
      </c>
      <c r="G172" s="11" t="str">
        <v>Youth Program Event</v>
      </c>
      <c r="H172" s="11">
        <v>0</v>
      </c>
      <c r="I172" s="11"/>
      <c r="J172" s="11"/>
      <c r="K172" s="11"/>
      <c r="L172" s="11"/>
      <c r="M172" s="11"/>
      <c r="N172" s="11"/>
      <c r="O172" s="11"/>
      <c r="P172" s="11"/>
      <c r="Q172" s="11"/>
      <c r="R172" s="11"/>
      <c r="S172" s="11"/>
      <c r="T172" s="11"/>
    </row>
    <row r="173" spans="1:20" s="6" customFormat="1" ht="18" customHeight="1" x14ac:dyDescent="0.2">
      <c r="A173" s="7">
        <v>168</v>
      </c>
      <c r="B173" s="8" t="str">
        <v>Scouting Essentials (Sunshine Coast)</v>
      </c>
      <c r="C173" s="64" t="str">
        <v/>
      </c>
      <c r="D173" s="9">
        <v>46233</v>
      </c>
      <c r="E173" s="9">
        <v>46235</v>
      </c>
      <c r="F173" s="10">
        <f t="shared" si="4"/>
        <v>2</v>
      </c>
      <c r="G173" s="11" t="str">
        <v>Branch Calendar Event</v>
      </c>
      <c r="H173" s="11" t="str">
        <v>Training - AA</v>
      </c>
      <c r="I173" s="11"/>
      <c r="J173" s="11"/>
      <c r="K173" s="11"/>
      <c r="L173" s="11"/>
      <c r="M173" s="11"/>
      <c r="N173" s="11"/>
      <c r="O173" s="11"/>
      <c r="P173" s="11"/>
      <c r="Q173" s="11"/>
      <c r="R173" s="11"/>
      <c r="S173" s="11"/>
      <c r="T173" s="11"/>
    </row>
    <row r="174" spans="1:20" s="6" customFormat="1" ht="18" customHeight="1" x14ac:dyDescent="0.2">
      <c r="A174" s="7">
        <v>169</v>
      </c>
      <c r="B174" s="8" t="str">
        <v>Scouting Leadership (FNR)</v>
      </c>
      <c r="C174" s="64" t="str">
        <v/>
      </c>
      <c r="D174" s="9">
        <v>46233</v>
      </c>
      <c r="E174" s="9">
        <v>46235</v>
      </c>
      <c r="F174" s="10">
        <f t="shared" si="4"/>
        <v>2</v>
      </c>
      <c r="G174" s="11" t="str">
        <v>Branch Calendar Event</v>
      </c>
      <c r="H174" s="11" t="str">
        <v>Training - AA</v>
      </c>
      <c r="I174" s="11"/>
      <c r="J174" s="11"/>
      <c r="K174" s="11"/>
      <c r="L174" s="11"/>
      <c r="M174" s="11"/>
      <c r="N174" s="11"/>
      <c r="O174" s="11"/>
      <c r="P174" s="11"/>
      <c r="Q174" s="11"/>
      <c r="R174" s="11"/>
      <c r="S174" s="11"/>
      <c r="T174" s="11"/>
    </row>
    <row r="175" spans="1:20" s="6" customFormat="1" ht="18" customHeight="1" x14ac:dyDescent="0.2">
      <c r="A175" s="7">
        <v>170</v>
      </c>
      <c r="B175" s="8" t="str">
        <v>Information sessions for Program Support Leaders (Achievement Pathways Improvements (2026))</v>
      </c>
      <c r="C175" s="64" t="str">
        <v>Achievement Pathways Improvements (2026)</v>
      </c>
      <c r="D175" s="9">
        <v>46234</v>
      </c>
      <c r="E175" s="9">
        <v>46247</v>
      </c>
      <c r="F175" s="10">
        <f t="shared" si="4"/>
        <v>2</v>
      </c>
      <c r="G175" s="11" t="str">
        <v>Event</v>
      </c>
      <c r="H175" s="11">
        <v>0</v>
      </c>
      <c r="I175" s="11"/>
      <c r="J175" s="11"/>
      <c r="K175" s="11"/>
      <c r="L175" s="11"/>
      <c r="M175" s="11"/>
      <c r="N175" s="11"/>
      <c r="O175" s="11"/>
      <c r="P175" s="11"/>
      <c r="Q175" s="11"/>
      <c r="R175" s="11"/>
      <c r="S175" s="11"/>
      <c r="T175" s="11"/>
    </row>
    <row r="176" spans="1:20" s="6" customFormat="1" ht="18" customHeight="1" x14ac:dyDescent="0.2">
      <c r="A176" s="7">
        <v>171</v>
      </c>
      <c r="B176" s="8" t="str">
        <v>Implementation support packs provided to Branch program teams (Achievement Pathways Improvements (2026))</v>
      </c>
      <c r="C176" s="64" t="str">
        <v>Achievement Pathways Improvements (2026)</v>
      </c>
      <c r="D176" s="9">
        <v>46234</v>
      </c>
      <c r="E176" s="9">
        <v>46234</v>
      </c>
      <c r="F176" s="10">
        <f t="shared" si="4"/>
        <v>1</v>
      </c>
      <c r="G176" s="11" t="str">
        <v>Comms</v>
      </c>
      <c r="H176" s="11">
        <v>0</v>
      </c>
      <c r="I176" s="11"/>
      <c r="J176" s="11"/>
      <c r="K176" s="11"/>
      <c r="L176" s="11"/>
      <c r="M176" s="11"/>
      <c r="N176" s="11"/>
      <c r="O176" s="11"/>
      <c r="P176" s="11"/>
      <c r="Q176" s="11"/>
      <c r="R176" s="11"/>
      <c r="S176" s="11"/>
      <c r="T176" s="11"/>
    </row>
    <row r="177" spans="1:20" s="6" customFormat="1" ht="18" customHeight="1" x14ac:dyDescent="0.2">
      <c r="A177" s="7">
        <v>172</v>
      </c>
      <c r="B177" s="8" t="str">
        <v>Joey Scout Jaunt (South)</v>
      </c>
      <c r="C177" s="64" t="str">
        <v/>
      </c>
      <c r="D177" s="9">
        <v>46234</v>
      </c>
      <c r="E177" s="9">
        <v>46234</v>
      </c>
      <c r="F177" s="10">
        <f t="shared" si="4"/>
        <v>1</v>
      </c>
      <c r="G177" s="11" t="str">
        <v>Youth Program Event</v>
      </c>
      <c r="H177" s="11">
        <v>0</v>
      </c>
      <c r="I177" s="11"/>
      <c r="J177" s="11"/>
      <c r="K177" s="11"/>
      <c r="L177" s="11"/>
      <c r="M177" s="11"/>
      <c r="N177" s="11"/>
      <c r="O177" s="11"/>
      <c r="P177" s="11"/>
      <c r="Q177" s="11"/>
      <c r="R177" s="11"/>
      <c r="S177" s="11"/>
      <c r="T177" s="11"/>
    </row>
    <row r="178" spans="1:20" s="6" customFormat="1" ht="18" customHeight="1" x14ac:dyDescent="0.2">
      <c r="A178" s="7">
        <v>173</v>
      </c>
      <c r="B178" s="8" t="str">
        <v>Cycling - On Road - SP/TP (Wide Bay)</v>
      </c>
      <c r="C178" s="64" t="str">
        <v/>
      </c>
      <c r="D178" s="9">
        <v>46234</v>
      </c>
      <c r="E178" s="9">
        <v>46234</v>
      </c>
      <c r="F178" s="10">
        <f t="shared" si="4"/>
        <v>1</v>
      </c>
      <c r="G178" s="11" t="str">
        <v>Branch Calendar Event</v>
      </c>
      <c r="H178" s="11" t="str">
        <v>Training - AA</v>
      </c>
      <c r="I178" s="11"/>
      <c r="J178" s="11"/>
      <c r="K178" s="11"/>
      <c r="L178" s="11"/>
      <c r="M178" s="11"/>
      <c r="N178" s="11"/>
      <c r="O178" s="11"/>
      <c r="P178" s="11"/>
      <c r="Q178" s="11"/>
      <c r="R178" s="11"/>
      <c r="S178" s="11"/>
      <c r="T178" s="11"/>
    </row>
    <row r="179" spans="1:20" s="6" customFormat="1" ht="18" customHeight="1" x14ac:dyDescent="0.2">
      <c r="A179" s="7">
        <v>174</v>
      </c>
      <c r="B179" s="8" t="str">
        <v>World Scout Day</v>
      </c>
      <c r="C179" s="64" t="str">
        <v/>
      </c>
      <c r="D179" s="9">
        <v>46234</v>
      </c>
      <c r="E179" s="9">
        <v>46234</v>
      </c>
      <c r="F179" s="10">
        <f t="shared" si="4"/>
        <v>1</v>
      </c>
      <c r="G179" s="11" t="str">
        <v>Youth Program Event</v>
      </c>
      <c r="H179" s="11">
        <v>0</v>
      </c>
      <c r="I179" s="11"/>
      <c r="J179" s="11"/>
      <c r="K179" s="11"/>
      <c r="L179" s="11"/>
      <c r="M179" s="11"/>
      <c r="N179" s="11"/>
      <c r="O179" s="11"/>
      <c r="P179" s="11"/>
      <c r="Q179" s="11"/>
      <c r="R179" s="11"/>
      <c r="S179" s="11"/>
      <c r="T179" s="11"/>
    </row>
    <row r="180" spans="1:20" s="6" customFormat="1" ht="18" customHeight="1" x14ac:dyDescent="0.2">
      <c r="A180" s="7">
        <v>175</v>
      </c>
      <c r="B180" s="8" t="str">
        <v>Memo to all National Training Team (Achievement Pathways Improvements (2026))</v>
      </c>
      <c r="C180" s="64" t="str">
        <v>Achievement Pathways Improvements (2026)</v>
      </c>
      <c r="D180" s="9">
        <v>46234</v>
      </c>
      <c r="E180" s="9">
        <v>46234</v>
      </c>
      <c r="F180" s="10">
        <f t="shared" si="4"/>
        <v>1</v>
      </c>
      <c r="G180" s="11" t="str">
        <v>Comms</v>
      </c>
      <c r="H180" s="11">
        <v>0</v>
      </c>
      <c r="I180" s="11"/>
      <c r="J180" s="11"/>
      <c r="K180" s="11"/>
      <c r="L180" s="11"/>
      <c r="M180" s="11"/>
      <c r="N180" s="11"/>
      <c r="O180" s="11"/>
      <c r="P180" s="11"/>
      <c r="Q180" s="11"/>
      <c r="R180" s="11"/>
      <c r="S180" s="11"/>
      <c r="T180" s="11"/>
    </row>
    <row r="181" spans="1:20" s="6" customFormat="1" ht="18" customHeight="1" x14ac:dyDescent="0.2">
      <c r="A181" s="7">
        <v>176</v>
      </c>
      <c r="B181" s="8" t="str">
        <v>Cycling - Off Road - SP/TP (Wide Bay)</v>
      </c>
      <c r="C181" s="64" t="str">
        <v/>
      </c>
      <c r="D181" s="9">
        <v>46235</v>
      </c>
      <c r="E181" s="9">
        <v>46235</v>
      </c>
      <c r="F181" s="10">
        <f t="shared" si="4"/>
        <v>1</v>
      </c>
      <c r="G181" s="11" t="str">
        <v>Branch Calendar Event</v>
      </c>
      <c r="H181" s="11" t="str">
        <v>Training - AA</v>
      </c>
      <c r="I181" s="11"/>
      <c r="J181" s="11"/>
      <c r="K181" s="11"/>
      <c r="L181" s="11"/>
      <c r="M181" s="11"/>
      <c r="N181" s="11"/>
      <c r="O181" s="11"/>
      <c r="P181" s="11"/>
      <c r="Q181" s="11"/>
      <c r="R181" s="11"/>
      <c r="S181" s="11"/>
      <c r="T181" s="11"/>
    </row>
    <row r="182" spans="1:20" s="6" customFormat="1" ht="18" customHeight="1" x14ac:dyDescent="0.2">
      <c r="A182" s="7">
        <v>177</v>
      </c>
      <c r="B182" s="8" t="str">
        <v>Achievement Pathways Improvements Briefing (Qld / ACT) (Achievement Pathways Improvements (2026))</v>
      </c>
      <c r="C182" s="64" t="str">
        <v>Achievement Pathways Improvements (2026)</v>
      </c>
      <c r="D182" s="9">
        <v>46237</v>
      </c>
      <c r="E182" s="9">
        <v>46237</v>
      </c>
      <c r="F182" s="10">
        <f t="shared" si="4"/>
        <v>1</v>
      </c>
      <c r="G182" s="11" t="str">
        <v>Event</v>
      </c>
      <c r="H182" s="11">
        <v>0</v>
      </c>
      <c r="I182" s="11"/>
      <c r="J182" s="11"/>
      <c r="K182" s="11"/>
      <c r="L182" s="11"/>
      <c r="M182" s="11"/>
      <c r="N182" s="11"/>
      <c r="O182" s="11"/>
      <c r="P182" s="11"/>
      <c r="Q182" s="11"/>
      <c r="R182" s="11"/>
      <c r="S182" s="11"/>
      <c r="T182" s="11"/>
    </row>
    <row r="183" spans="1:20" s="6" customFormat="1" ht="18" customHeight="1" x14ac:dyDescent="0.2">
      <c r="A183" s="7">
        <v>178</v>
      </c>
      <c r="B183" s="8" t="str">
        <v>Basic Water Rescue (FNQ)</v>
      </c>
      <c r="C183" s="64" t="str">
        <v/>
      </c>
      <c r="D183" s="9">
        <v>46238</v>
      </c>
      <c r="E183" s="9">
        <v>46238</v>
      </c>
      <c r="F183" s="10">
        <f t="shared" si="4"/>
        <v>1</v>
      </c>
      <c r="G183" s="11" t="str">
        <v>Branch Calendar Event</v>
      </c>
      <c r="H183" s="11" t="str">
        <v>Training - AA</v>
      </c>
      <c r="I183" s="11"/>
      <c r="J183" s="11"/>
      <c r="K183" s="11"/>
      <c r="L183" s="11"/>
      <c r="M183" s="11"/>
      <c r="N183" s="11"/>
      <c r="O183" s="11"/>
      <c r="P183" s="11"/>
      <c r="Q183" s="11"/>
      <c r="R183" s="11"/>
      <c r="S183" s="11"/>
      <c r="T183" s="11"/>
    </row>
    <row r="184" spans="1:20" s="6" customFormat="1" ht="18" customHeight="1" x14ac:dyDescent="0.2">
      <c r="A184" s="7">
        <v>179</v>
      </c>
      <c r="B184" s="8" t="str">
        <v>Royal Queensland Show (Ekka)</v>
      </c>
      <c r="C184" s="64" t="str">
        <v/>
      </c>
      <c r="D184" s="9">
        <v>46241</v>
      </c>
      <c r="E184" s="9">
        <v>46249</v>
      </c>
      <c r="F184" s="10">
        <f t="shared" si="4"/>
        <v>1</v>
      </c>
      <c r="G184" s="11" t="str">
        <v>Youth Program Event</v>
      </c>
      <c r="H184" s="11">
        <v>0</v>
      </c>
      <c r="I184" s="11"/>
      <c r="J184" s="11"/>
      <c r="K184" s="11"/>
      <c r="L184" s="11"/>
      <c r="M184" s="11"/>
      <c r="N184" s="11"/>
      <c r="O184" s="11"/>
      <c r="P184" s="11"/>
      <c r="Q184" s="11"/>
      <c r="R184" s="11"/>
      <c r="S184" s="11"/>
      <c r="T184" s="11"/>
    </row>
    <row r="185" spans="1:20" s="6" customFormat="1" ht="18" customHeight="1" x14ac:dyDescent="0.2">
      <c r="A185" s="7">
        <v>180</v>
      </c>
      <c r="B185" s="8" t="str">
        <v>Vertical - Abseiling (Natural Surfaces) SP (FNR)</v>
      </c>
      <c r="C185" s="64" t="str">
        <v/>
      </c>
      <c r="D185" s="9">
        <v>46241</v>
      </c>
      <c r="E185" s="9">
        <v>46272</v>
      </c>
      <c r="F185" s="10">
        <f t="shared" si="4"/>
        <v>2</v>
      </c>
      <c r="G185" s="11" t="str">
        <v>Branch Calendar Event</v>
      </c>
      <c r="H185" s="11" t="str">
        <v>Training - AA</v>
      </c>
      <c r="I185" s="11"/>
      <c r="J185" s="11"/>
      <c r="K185" s="11"/>
      <c r="L185" s="11"/>
      <c r="M185" s="11"/>
      <c r="N185" s="11"/>
      <c r="O185" s="11"/>
      <c r="P185" s="11"/>
      <c r="Q185" s="11"/>
      <c r="R185" s="11"/>
      <c r="S185" s="11"/>
      <c r="T185" s="11"/>
    </row>
    <row r="186" spans="1:20" s="6" customFormat="1" ht="18" customHeight="1" x14ac:dyDescent="0.2">
      <c r="A186" s="7">
        <v>181</v>
      </c>
      <c r="B186" s="8" t="str">
        <v>Operation Nighthawk</v>
      </c>
      <c r="C186" s="64" t="str">
        <v/>
      </c>
      <c r="D186" s="9">
        <v>46241</v>
      </c>
      <c r="E186" s="9">
        <v>46242</v>
      </c>
      <c r="F186" s="10">
        <f t="shared" si="4"/>
        <v>1</v>
      </c>
      <c r="G186" s="11" t="str">
        <v>Youth Program Event</v>
      </c>
      <c r="H186" s="11">
        <v>0</v>
      </c>
      <c r="I186" s="11"/>
      <c r="J186" s="11"/>
      <c r="K186" s="11"/>
      <c r="L186" s="11"/>
      <c r="M186" s="11"/>
      <c r="N186" s="11"/>
      <c r="O186" s="11"/>
      <c r="P186" s="11"/>
      <c r="Q186" s="11"/>
      <c r="R186" s="11"/>
      <c r="S186" s="11"/>
      <c r="T186" s="11"/>
    </row>
    <row r="187" spans="1:20" s="6" customFormat="1" ht="18" customHeight="1" x14ac:dyDescent="0.2">
      <c r="A187" s="7">
        <v>182</v>
      </c>
      <c r="B187" s="8" t="str">
        <v>Vertical - Abseiling (Natural Surfaces) SP (FNR)</v>
      </c>
      <c r="C187" s="64" t="str">
        <v/>
      </c>
      <c r="D187" s="9">
        <v>46241</v>
      </c>
      <c r="E187" s="9">
        <v>46272</v>
      </c>
      <c r="F187" s="10">
        <f t="shared" si="4"/>
        <v>2</v>
      </c>
      <c r="G187" s="11" t="str">
        <v>Branch Calendar Event</v>
      </c>
      <c r="H187" s="11" t="str">
        <v>Training - AA</v>
      </c>
      <c r="I187" s="11"/>
      <c r="J187" s="11"/>
      <c r="K187" s="11"/>
      <c r="L187" s="11"/>
      <c r="M187" s="11"/>
      <c r="N187" s="11"/>
      <c r="O187" s="11"/>
      <c r="P187" s="11"/>
      <c r="Q187" s="11"/>
      <c r="R187" s="11"/>
      <c r="S187" s="11"/>
      <c r="T187" s="11"/>
    </row>
    <row r="188" spans="1:20" s="6" customFormat="1" ht="18" customHeight="1" x14ac:dyDescent="0.2">
      <c r="A188" s="7">
        <v>183</v>
      </c>
      <c r="B188" s="8" t="str">
        <v>Vertical - Abseiling (Natural Surfaces) SP (FNR)</v>
      </c>
      <c r="C188" s="64" t="str">
        <v/>
      </c>
      <c r="D188" s="9">
        <v>46241</v>
      </c>
      <c r="E188" s="9">
        <v>46242</v>
      </c>
      <c r="F188" s="10">
        <f t="shared" si="4"/>
        <v>1</v>
      </c>
      <c r="G188" s="11" t="str">
        <v>Branch Calendar Event</v>
      </c>
      <c r="H188" s="11" t="str">
        <v>Training - AA</v>
      </c>
      <c r="I188" s="11"/>
      <c r="J188" s="11"/>
      <c r="K188" s="11"/>
      <c r="L188" s="11"/>
      <c r="M188" s="11"/>
      <c r="N188" s="11"/>
      <c r="O188" s="11"/>
      <c r="P188" s="11"/>
      <c r="Q188" s="11"/>
      <c r="R188" s="11"/>
      <c r="S188" s="11"/>
      <c r="T188" s="11"/>
    </row>
    <row r="189" spans="1:20" s="6" customFormat="1" ht="18" customHeight="1" x14ac:dyDescent="0.2">
      <c r="A189" s="7">
        <v>184</v>
      </c>
      <c r="B189" s="8" t="str">
        <v>Scouting Management - Commissioners and Advisors (Online)</v>
      </c>
      <c r="C189" s="64" t="str">
        <v/>
      </c>
      <c r="D189" s="9">
        <v>46243</v>
      </c>
      <c r="E189" s="9">
        <v>46243</v>
      </c>
      <c r="F189" s="10">
        <f t="shared" si="4"/>
        <v>1</v>
      </c>
      <c r="G189" s="11" t="str">
        <v>Branch Calendar Event</v>
      </c>
      <c r="H189" s="11">
        <v>0</v>
      </c>
      <c r="I189" s="11"/>
      <c r="J189" s="11"/>
      <c r="K189" s="11"/>
      <c r="L189" s="11"/>
      <c r="M189" s="11"/>
      <c r="N189" s="11"/>
      <c r="O189" s="11"/>
      <c r="P189" s="11"/>
      <c r="Q189" s="11"/>
      <c r="R189" s="11"/>
      <c r="S189" s="11"/>
      <c r="T189" s="11"/>
    </row>
    <row r="190" spans="1:20" s="6" customFormat="1" ht="18" customHeight="1" x14ac:dyDescent="0.2">
      <c r="A190" s="7">
        <v>185</v>
      </c>
      <c r="B190" s="8" t="str">
        <v>Scouting Management - Commissioners and Advisors (Online)</v>
      </c>
      <c r="C190" s="64" t="str">
        <v/>
      </c>
      <c r="D190" s="9">
        <v>46243</v>
      </c>
      <c r="E190" s="9">
        <v>46243</v>
      </c>
      <c r="F190" s="10">
        <f t="shared" si="4"/>
        <v>1</v>
      </c>
      <c r="G190" s="11" t="str">
        <v>Branch Calendar Event</v>
      </c>
      <c r="H190" s="11" t="str">
        <v>Training - AA</v>
      </c>
      <c r="I190" s="11"/>
      <c r="J190" s="11"/>
      <c r="K190" s="11"/>
      <c r="L190" s="11"/>
      <c r="M190" s="11"/>
      <c r="N190" s="11"/>
      <c r="O190" s="11"/>
      <c r="P190" s="11"/>
      <c r="Q190" s="11"/>
      <c r="R190" s="11"/>
      <c r="S190" s="11"/>
      <c r="T190" s="11"/>
    </row>
    <row r="191" spans="1:20" s="6" customFormat="1" ht="18" customHeight="1" x14ac:dyDescent="0.2">
      <c r="A191" s="7">
        <v>186</v>
      </c>
      <c r="B191" s="8" t="str">
        <v>Basic Water Rescue (Wide Bay)</v>
      </c>
      <c r="C191" s="64" t="str">
        <v/>
      </c>
      <c r="D191" s="9">
        <v>46244</v>
      </c>
      <c r="E191" s="9">
        <v>46244</v>
      </c>
      <c r="F191" s="10">
        <f t="shared" si="4"/>
        <v>1</v>
      </c>
      <c r="G191" s="11" t="str">
        <v>Branch Calendar Event</v>
      </c>
      <c r="H191" s="11" t="str">
        <v>Training - AA</v>
      </c>
      <c r="I191" s="11"/>
      <c r="J191" s="11"/>
      <c r="K191" s="11"/>
      <c r="L191" s="11"/>
      <c r="M191" s="11"/>
      <c r="N191" s="11"/>
      <c r="O191" s="11"/>
      <c r="P191" s="11"/>
      <c r="Q191" s="11"/>
      <c r="R191" s="11"/>
      <c r="S191" s="11"/>
      <c r="T191" s="11"/>
    </row>
    <row r="192" spans="1:20" s="6" customFormat="1" ht="18" customHeight="1" x14ac:dyDescent="0.2">
      <c r="A192" s="7">
        <v>187</v>
      </c>
      <c r="B192" s="8" t="str">
        <v>Basic Water Rescue (Wide Bay)</v>
      </c>
      <c r="C192" s="64" t="str">
        <v/>
      </c>
      <c r="D192" s="9">
        <v>46244</v>
      </c>
      <c r="E192" s="9">
        <v>46244</v>
      </c>
      <c r="F192" s="10">
        <f t="shared" si="4"/>
        <v>1</v>
      </c>
      <c r="G192" s="11" t="str">
        <v>Branch Calendar Event</v>
      </c>
      <c r="H192" s="11">
        <v>0</v>
      </c>
      <c r="I192" s="11"/>
      <c r="J192" s="11"/>
      <c r="K192" s="11"/>
      <c r="L192" s="11"/>
      <c r="M192" s="11"/>
      <c r="N192" s="11"/>
      <c r="O192" s="11"/>
      <c r="P192" s="11"/>
      <c r="Q192" s="11"/>
      <c r="R192" s="11"/>
      <c r="S192" s="11"/>
      <c r="T192" s="11"/>
    </row>
    <row r="193" spans="1:20" s="6" customFormat="1" ht="18" customHeight="1" x14ac:dyDescent="0.2">
      <c r="A193" s="7">
        <v>188</v>
      </c>
      <c r="B193" s="8" t="str">
        <v>Royal Queensland Show (Ekka) Public Holiday</v>
      </c>
      <c r="C193" s="64" t="str">
        <v/>
      </c>
      <c r="D193" s="9">
        <v>46245</v>
      </c>
      <c r="E193" s="9">
        <v>46245</v>
      </c>
      <c r="F193" s="10">
        <f t="shared" si="4"/>
        <v>1</v>
      </c>
      <c r="G193" s="11" t="str">
        <v>Youth Program Event</v>
      </c>
      <c r="H193" s="11">
        <v>0</v>
      </c>
      <c r="I193" s="11"/>
      <c r="J193" s="11"/>
      <c r="K193" s="11"/>
      <c r="L193" s="11"/>
      <c r="M193" s="11"/>
      <c r="N193" s="11"/>
      <c r="O193" s="11"/>
      <c r="P193" s="11"/>
      <c r="Q193" s="11"/>
      <c r="R193" s="11"/>
      <c r="S193" s="11"/>
      <c r="T193" s="11"/>
    </row>
    <row r="194" spans="1:20" s="6" customFormat="1" ht="18" customHeight="1" x14ac:dyDescent="0.2">
      <c r="A194" s="7">
        <v>189</v>
      </c>
      <c r="B194" s="8" t="str">
        <v>National Youth Program Team approves OAS IStatement wording changes (Achievement Pathways Improvements (2026))</v>
      </c>
      <c r="C194" s="64" t="str">
        <v>Achievement Pathways Improvements (2026)</v>
      </c>
      <c r="D194" s="9">
        <v>46246</v>
      </c>
      <c r="E194" s="9">
        <v>46246</v>
      </c>
      <c r="F194" s="10">
        <f t="shared" si="4"/>
        <v>1</v>
      </c>
      <c r="G194" s="11" t="str">
        <v>Event</v>
      </c>
      <c r="H194" s="11">
        <v>0</v>
      </c>
      <c r="I194" s="11"/>
      <c r="J194" s="11"/>
      <c r="K194" s="11"/>
      <c r="L194" s="11"/>
      <c r="M194" s="11"/>
      <c r="N194" s="11"/>
      <c r="O194" s="11"/>
      <c r="P194" s="11"/>
      <c r="Q194" s="11"/>
      <c r="R194" s="11"/>
      <c r="S194" s="11"/>
      <c r="T194" s="11"/>
    </row>
    <row r="195" spans="1:20" s="6" customFormat="1" ht="18" customHeight="1" x14ac:dyDescent="0.2">
      <c r="A195" s="7">
        <v>190</v>
      </c>
      <c r="B195" s="8" t="str">
        <v>Archery - SP/TP/G (Wide Bay)</v>
      </c>
      <c r="C195" s="64" t="str">
        <v/>
      </c>
      <c r="D195" s="9">
        <v>46248</v>
      </c>
      <c r="E195" s="9">
        <v>46249</v>
      </c>
      <c r="F195" s="10">
        <f t="shared" si="4"/>
        <v>1</v>
      </c>
      <c r="G195" s="11" t="str">
        <v>Branch Calendar Event</v>
      </c>
      <c r="H195" s="11" t="str">
        <v>Training - AA</v>
      </c>
      <c r="I195" s="11"/>
      <c r="J195" s="11"/>
      <c r="K195" s="11"/>
      <c r="L195" s="11"/>
      <c r="M195" s="11"/>
      <c r="N195" s="11"/>
      <c r="O195" s="11"/>
      <c r="P195" s="11"/>
      <c r="Q195" s="11"/>
      <c r="R195" s="11"/>
      <c r="S195" s="11"/>
      <c r="T195" s="11"/>
    </row>
    <row r="196" spans="1:20" s="6" customFormat="1" ht="18" customHeight="1" x14ac:dyDescent="0.2">
      <c r="A196" s="7">
        <v>191</v>
      </c>
      <c r="B196" s="8" t="str">
        <v>Queensland Branch Rover Council Meeting</v>
      </c>
      <c r="C196" s="64" t="str">
        <v/>
      </c>
      <c r="D196" s="9">
        <v>46249</v>
      </c>
      <c r="E196" s="9">
        <v>46249</v>
      </c>
      <c r="F196" s="10">
        <f t="shared" si="4"/>
        <v>1</v>
      </c>
      <c r="G196" s="11" t="str">
        <v>Youth Program Event</v>
      </c>
      <c r="H196" s="11">
        <v>0</v>
      </c>
      <c r="I196" s="11"/>
      <c r="J196" s="11"/>
      <c r="K196" s="11"/>
      <c r="L196" s="11"/>
      <c r="M196" s="11"/>
      <c r="N196" s="11"/>
      <c r="O196" s="11"/>
      <c r="P196" s="11"/>
      <c r="Q196" s="11"/>
      <c r="R196" s="11"/>
      <c r="S196" s="11"/>
      <c r="T196" s="11"/>
    </row>
    <row r="197" spans="1:20" s="6" customFormat="1" ht="18" customHeight="1" x14ac:dyDescent="0.2">
      <c r="A197" s="7">
        <v>192</v>
      </c>
      <c r="B197" s="8" t="str">
        <v>Branch Scout Section Council</v>
      </c>
      <c r="C197" s="64" t="str">
        <v/>
      </c>
      <c r="D197" s="9">
        <v>46250</v>
      </c>
      <c r="E197" s="9">
        <v>46250</v>
      </c>
      <c r="F197" s="10">
        <f t="shared" si="4"/>
        <v>1</v>
      </c>
      <c r="G197" s="11" t="str">
        <v>Youth Program Event</v>
      </c>
      <c r="H197" s="11">
        <v>0</v>
      </c>
      <c r="I197" s="11"/>
      <c r="J197" s="11"/>
      <c r="K197" s="11"/>
      <c r="L197" s="11"/>
      <c r="M197" s="11"/>
      <c r="N197" s="11"/>
      <c r="O197" s="11"/>
      <c r="P197" s="11"/>
      <c r="Q197" s="11"/>
      <c r="R197" s="11"/>
      <c r="S197" s="11"/>
      <c r="T197" s="11"/>
    </row>
    <row r="198" spans="1:20" s="6" customFormat="1" ht="18" customHeight="1" x14ac:dyDescent="0.2">
      <c r="A198" s="7">
        <v>193</v>
      </c>
      <c r="B198" s="8" t="str">
        <v>Branch Finance Committee</v>
      </c>
      <c r="C198" s="64" t="str">
        <v/>
      </c>
      <c r="D198" s="9">
        <v>46250</v>
      </c>
      <c r="E198" s="9">
        <v>46250</v>
      </c>
      <c r="F198" s="10">
        <f t="shared" ref="F198:F261" si="5">IF(OR(ISBLANK(start_date),ISBLANK(end_date)),"",1+ROUND(((EOMONTH(end_date,0)-EOMONTH(start_date,0))/30),0))</f>
        <v>1</v>
      </c>
      <c r="G198" s="11" t="str">
        <v>Branch Calendar Event</v>
      </c>
      <c r="H198" s="11">
        <v>0</v>
      </c>
      <c r="I198" s="11"/>
      <c r="J198" s="11"/>
      <c r="K198" s="11"/>
      <c r="L198" s="11"/>
      <c r="M198" s="11"/>
      <c r="N198" s="11"/>
      <c r="O198" s="11"/>
      <c r="P198" s="11"/>
      <c r="Q198" s="11"/>
      <c r="R198" s="11"/>
      <c r="S198" s="11"/>
      <c r="T198" s="11"/>
    </row>
    <row r="199" spans="1:20" s="6" customFormat="1" ht="18" customHeight="1" x14ac:dyDescent="0.2">
      <c r="A199" s="7">
        <v>194</v>
      </c>
      <c r="B199" s="8" t="str">
        <v>Branch Joey Scout Council</v>
      </c>
      <c r="C199" s="64" t="str">
        <v/>
      </c>
      <c r="D199" s="9">
        <v>46252</v>
      </c>
      <c r="E199" s="9">
        <v>46252</v>
      </c>
      <c r="F199" s="10">
        <f t="shared" si="5"/>
        <v>1</v>
      </c>
      <c r="G199" s="11" t="str">
        <v>Youth Program Event</v>
      </c>
      <c r="H199" s="11" t="str">
        <v>Joey Scouts</v>
      </c>
      <c r="I199" s="11"/>
      <c r="J199" s="11"/>
      <c r="K199" s="11"/>
      <c r="L199" s="11"/>
      <c r="M199" s="11"/>
      <c r="N199" s="11"/>
      <c r="O199" s="11"/>
      <c r="P199" s="11"/>
      <c r="Q199" s="11"/>
      <c r="R199" s="11"/>
      <c r="S199" s="11"/>
      <c r="T199" s="11"/>
    </row>
    <row r="200" spans="1:20" s="6" customFormat="1" ht="18" customHeight="1" x14ac:dyDescent="0.2">
      <c r="A200" s="7">
        <v>195</v>
      </c>
      <c r="B200" s="8" t="str">
        <v>Branch Youth Venturer Scout Council</v>
      </c>
      <c r="C200" s="64" t="str">
        <v/>
      </c>
      <c r="D200" s="9">
        <v>46252</v>
      </c>
      <c r="E200" s="9">
        <v>46252</v>
      </c>
      <c r="F200" s="10">
        <f t="shared" si="5"/>
        <v>1</v>
      </c>
      <c r="G200" s="11" t="str">
        <v>Youth Program Event</v>
      </c>
      <c r="H200" s="11">
        <v>0</v>
      </c>
      <c r="I200" s="11"/>
      <c r="J200" s="11"/>
      <c r="K200" s="11"/>
      <c r="L200" s="11"/>
      <c r="M200" s="11"/>
      <c r="N200" s="11"/>
      <c r="O200" s="11"/>
      <c r="P200" s="11"/>
      <c r="Q200" s="11"/>
      <c r="R200" s="11"/>
      <c r="S200" s="11"/>
      <c r="T200" s="11"/>
    </row>
    <row r="201" spans="1:20" s="6" customFormat="1" ht="18" customHeight="1" x14ac:dyDescent="0.2">
      <c r="A201" s="7">
        <v>196</v>
      </c>
      <c r="B201" s="8" t="str">
        <v>Presentation to National Rover Council on improvements and program support (Achievement Pathways Improvements (2026))</v>
      </c>
      <c r="C201" s="64" t="str">
        <v>Achievement Pathways Improvements (2026)</v>
      </c>
      <c r="D201" s="9">
        <v>46253</v>
      </c>
      <c r="E201" s="9">
        <v>46253</v>
      </c>
      <c r="F201" s="10">
        <f t="shared" si="5"/>
        <v>1</v>
      </c>
      <c r="G201" s="11" t="str">
        <v>Event</v>
      </c>
      <c r="H201" s="11">
        <v>0</v>
      </c>
      <c r="I201" s="11"/>
      <c r="J201" s="11"/>
      <c r="K201" s="11"/>
      <c r="L201" s="11"/>
      <c r="M201" s="11"/>
      <c r="N201" s="11"/>
      <c r="O201" s="11"/>
      <c r="P201" s="11"/>
      <c r="Q201" s="11"/>
      <c r="R201" s="11"/>
      <c r="S201" s="11"/>
      <c r="T201" s="11"/>
    </row>
    <row r="202" spans="1:20" s="6" customFormat="1" ht="18" customHeight="1" x14ac:dyDescent="0.2">
      <c r="A202" s="7">
        <v>197</v>
      </c>
      <c r="B202" s="8" t="str">
        <v>Scouting Essentials (Online)</v>
      </c>
      <c r="C202" s="64" t="str">
        <v/>
      </c>
      <c r="D202" s="9">
        <v>46253</v>
      </c>
      <c r="E202" s="9">
        <v>46253</v>
      </c>
      <c r="F202" s="10">
        <f t="shared" si="5"/>
        <v>1</v>
      </c>
      <c r="G202" s="11" t="str">
        <v>Branch Calendar Event</v>
      </c>
      <c r="H202" s="11">
        <v>0</v>
      </c>
      <c r="I202" s="11"/>
      <c r="J202" s="11"/>
      <c r="K202" s="11"/>
      <c r="L202" s="11"/>
      <c r="M202" s="11"/>
      <c r="N202" s="11"/>
      <c r="O202" s="11"/>
      <c r="P202" s="11"/>
      <c r="Q202" s="11"/>
      <c r="R202" s="11"/>
      <c r="S202" s="11"/>
      <c r="T202" s="11"/>
    </row>
    <row r="203" spans="1:20" s="6" customFormat="1" ht="18" customHeight="1" x14ac:dyDescent="0.2">
      <c r="A203" s="7">
        <v>198</v>
      </c>
      <c r="B203" s="8" t="str">
        <v>Scouting Essentials (Online)</v>
      </c>
      <c r="C203" s="64" t="str">
        <v/>
      </c>
      <c r="D203" s="9">
        <v>46253</v>
      </c>
      <c r="E203" s="9">
        <v>46253</v>
      </c>
      <c r="F203" s="10">
        <f t="shared" si="5"/>
        <v>1</v>
      </c>
      <c r="G203" s="11" t="str">
        <v>Branch Calendar Event</v>
      </c>
      <c r="H203" s="11" t="str">
        <v>Training - AA</v>
      </c>
      <c r="I203" s="11"/>
      <c r="J203" s="11"/>
      <c r="K203" s="11"/>
      <c r="L203" s="11"/>
      <c r="M203" s="11"/>
      <c r="N203" s="11"/>
      <c r="O203" s="11"/>
      <c r="P203" s="11"/>
      <c r="Q203" s="11"/>
      <c r="R203" s="11"/>
      <c r="S203" s="11"/>
      <c r="T203" s="11"/>
    </row>
    <row r="204" spans="1:20" s="6" customFormat="1" ht="18" customHeight="1" x14ac:dyDescent="0.2">
      <c r="A204" s="7">
        <v>199</v>
      </c>
      <c r="B204" s="8" t="str">
        <v>Branch Cub Scout Section Team Meeting</v>
      </c>
      <c r="C204" s="64" t="str">
        <v/>
      </c>
      <c r="D204" s="9">
        <v>46253</v>
      </c>
      <c r="E204" s="9">
        <v>46253</v>
      </c>
      <c r="F204" s="10">
        <f t="shared" si="5"/>
        <v>1</v>
      </c>
      <c r="G204" s="11" t="str">
        <v>Youth Program Event</v>
      </c>
      <c r="H204" s="11" t="str">
        <v>Cub Scouts</v>
      </c>
      <c r="I204" s="11"/>
      <c r="J204" s="11"/>
      <c r="K204" s="11"/>
      <c r="L204" s="11"/>
      <c r="M204" s="11"/>
      <c r="N204" s="11"/>
      <c r="O204" s="11"/>
      <c r="P204" s="11"/>
      <c r="Q204" s="11"/>
      <c r="R204" s="11"/>
      <c r="S204" s="11"/>
      <c r="T204" s="11"/>
    </row>
    <row r="205" spans="1:20" s="6" customFormat="1" ht="18" customHeight="1" x14ac:dyDescent="0.2">
      <c r="A205" s="7">
        <v>200</v>
      </c>
      <c r="B205" s="8" t="str">
        <v>Cub Scout Leader Expo</v>
      </c>
      <c r="C205" s="64" t="str">
        <v/>
      </c>
      <c r="D205" s="9">
        <v>46254</v>
      </c>
      <c r="E205" s="9">
        <v>46256</v>
      </c>
      <c r="F205" s="10">
        <f t="shared" si="5"/>
        <v>1</v>
      </c>
      <c r="G205" s="11" t="str">
        <v>Youth Program Event</v>
      </c>
      <c r="H205" s="11" t="str">
        <v>Cub Scouts</v>
      </c>
      <c r="I205" s="11"/>
      <c r="J205" s="11"/>
      <c r="K205" s="11"/>
      <c r="L205" s="11"/>
      <c r="M205" s="11"/>
      <c r="N205" s="11"/>
      <c r="O205" s="11"/>
      <c r="P205" s="11"/>
      <c r="Q205" s="11"/>
      <c r="R205" s="11"/>
      <c r="S205" s="11"/>
      <c r="T205" s="11"/>
    </row>
    <row r="206" spans="1:20" s="6" customFormat="1" ht="18" customHeight="1" x14ac:dyDescent="0.2">
      <c r="A206" s="7">
        <v>201</v>
      </c>
      <c r="B206" s="8" t="str">
        <v>Scouting Adventure (Toowoomba)</v>
      </c>
      <c r="C206" s="64" t="str">
        <v/>
      </c>
      <c r="D206" s="9">
        <v>46254</v>
      </c>
      <c r="E206" s="9">
        <v>46256</v>
      </c>
      <c r="F206" s="10">
        <f t="shared" si="5"/>
        <v>1</v>
      </c>
      <c r="G206" s="11" t="str">
        <v>Branch Calendar Event</v>
      </c>
      <c r="H206" s="11" t="str">
        <v>Training - AA</v>
      </c>
      <c r="I206" s="11"/>
      <c r="J206" s="11"/>
      <c r="K206" s="11"/>
      <c r="L206" s="11"/>
      <c r="M206" s="11"/>
      <c r="N206" s="11"/>
      <c r="O206" s="11"/>
      <c r="P206" s="11"/>
      <c r="Q206" s="11"/>
      <c r="R206" s="11"/>
      <c r="S206" s="11"/>
      <c r="T206" s="11"/>
    </row>
    <row r="207" spans="1:20" s="6" customFormat="1" ht="18" customHeight="1" x14ac:dyDescent="0.2">
      <c r="A207" s="7">
        <v>202</v>
      </c>
      <c r="B207" s="8" t="str">
        <v>Vertical - Abseiling Natural Surfaces -TP (FNR)</v>
      </c>
      <c r="C207" s="64" t="str">
        <v/>
      </c>
      <c r="D207" s="9">
        <v>46254</v>
      </c>
      <c r="E207" s="9">
        <v>46256</v>
      </c>
      <c r="F207" s="10">
        <f t="shared" si="5"/>
        <v>1</v>
      </c>
      <c r="G207" s="11" t="str">
        <v>Branch Calendar Event</v>
      </c>
      <c r="H207" s="11" t="str">
        <v>Training - AA</v>
      </c>
      <c r="I207" s="11"/>
      <c r="J207" s="11"/>
      <c r="K207" s="11"/>
      <c r="L207" s="11"/>
      <c r="M207" s="11"/>
      <c r="N207" s="11"/>
      <c r="O207" s="11"/>
      <c r="P207" s="11"/>
      <c r="Q207" s="11"/>
      <c r="R207" s="11"/>
      <c r="S207" s="11"/>
      <c r="T207" s="11"/>
    </row>
    <row r="208" spans="1:20" s="6" customFormat="1" ht="18" customHeight="1" x14ac:dyDescent="0.2">
      <c r="A208" s="7">
        <v>203</v>
      </c>
      <c r="B208" s="8" t="str">
        <v>Branch Executive Committee</v>
      </c>
      <c r="C208" s="64" t="str">
        <v/>
      </c>
      <c r="D208" s="9">
        <v>46258</v>
      </c>
      <c r="E208" s="9">
        <v>46258</v>
      </c>
      <c r="F208" s="10">
        <f t="shared" si="5"/>
        <v>1</v>
      </c>
      <c r="G208" s="11" t="str">
        <v>Branch Calendar Event</v>
      </c>
      <c r="H208" s="11">
        <v>0</v>
      </c>
      <c r="I208" s="11"/>
      <c r="J208" s="11"/>
      <c r="K208" s="11"/>
      <c r="L208" s="11"/>
      <c r="M208" s="11"/>
      <c r="N208" s="11"/>
      <c r="O208" s="11"/>
      <c r="P208" s="11"/>
      <c r="Q208" s="11"/>
      <c r="R208" s="11"/>
      <c r="S208" s="11"/>
      <c r="T208" s="11"/>
    </row>
    <row r="209" spans="1:20" s="6" customFormat="1" ht="18" customHeight="1" x14ac:dyDescent="0.2">
      <c r="A209" s="7">
        <v>204</v>
      </c>
      <c r="B209" s="8" t="str">
        <v>National Youth Program Team face-to-face meeting (Achievement Pathways Improvements (2026))</v>
      </c>
      <c r="C209" s="64" t="str">
        <v>Achievement Pathways Improvements (2026)</v>
      </c>
      <c r="D209" s="9">
        <v>46261</v>
      </c>
      <c r="E209" s="9">
        <v>46263</v>
      </c>
      <c r="F209" s="10">
        <f t="shared" si="5"/>
        <v>1</v>
      </c>
      <c r="G209" s="11" t="str">
        <v>Event</v>
      </c>
      <c r="H209" s="11">
        <v>0</v>
      </c>
      <c r="I209" s="11"/>
      <c r="J209" s="11"/>
      <c r="K209" s="11"/>
      <c r="L209" s="11"/>
      <c r="M209" s="11"/>
      <c r="N209" s="11"/>
      <c r="O209" s="11"/>
      <c r="P209" s="11"/>
      <c r="Q209" s="11"/>
      <c r="R209" s="11"/>
      <c r="S209" s="11"/>
      <c r="T209" s="11"/>
    </row>
    <row r="210" spans="1:20" s="6" customFormat="1" ht="18" customHeight="1" x14ac:dyDescent="0.2">
      <c r="A210" s="7">
        <v>205</v>
      </c>
      <c r="B210" s="8" t="str">
        <v>Awards Ceremony (Saturday afternoon)</v>
      </c>
      <c r="C210" s="64" t="str">
        <v/>
      </c>
      <c r="D210" s="9">
        <v>46262</v>
      </c>
      <c r="E210" s="9">
        <v>46262</v>
      </c>
      <c r="F210" s="10">
        <f t="shared" si="5"/>
        <v>1</v>
      </c>
      <c r="G210" s="11" t="str">
        <v>Youth Program Event</v>
      </c>
      <c r="H210" s="11">
        <v>0</v>
      </c>
      <c r="I210" s="11"/>
      <c r="J210" s="11"/>
      <c r="K210" s="11"/>
      <c r="L210" s="11"/>
      <c r="M210" s="11"/>
      <c r="N210" s="11"/>
      <c r="O210" s="11"/>
      <c r="P210" s="11"/>
      <c r="Q210" s="11"/>
      <c r="R210" s="11"/>
      <c r="S210" s="11"/>
      <c r="T210" s="11"/>
    </row>
    <row r="211" spans="1:20" s="6" customFormat="1" ht="18" customHeight="1" x14ac:dyDescent="0.2">
      <c r="A211" s="7">
        <v>206</v>
      </c>
      <c r="B211" s="8" t="str">
        <v>Awards Ceremony (Sunday morning)</v>
      </c>
      <c r="C211" s="64" t="str">
        <v/>
      </c>
      <c r="D211" s="9">
        <v>46263</v>
      </c>
      <c r="E211" s="9">
        <v>46263</v>
      </c>
      <c r="F211" s="10">
        <f t="shared" si="5"/>
        <v>1</v>
      </c>
      <c r="G211" s="11" t="str">
        <v>Youth Program Event</v>
      </c>
      <c r="H211" s="11">
        <v>0</v>
      </c>
      <c r="I211" s="11"/>
      <c r="J211" s="11"/>
      <c r="K211" s="11"/>
      <c r="L211" s="11"/>
      <c r="M211" s="11"/>
      <c r="N211" s="11"/>
      <c r="O211" s="11"/>
      <c r="P211" s="11"/>
      <c r="Q211" s="11"/>
      <c r="R211" s="11"/>
      <c r="S211" s="11"/>
      <c r="T211" s="11"/>
    </row>
    <row r="212" spans="1:20" s="6" customFormat="1" ht="18" customHeight="1" x14ac:dyDescent="0.2">
      <c r="A212" s="7">
        <v>207</v>
      </c>
      <c r="B212" s="8" t="str">
        <v>Launch in time for Term 4 (Achievement Pathways Improvements (2026))</v>
      </c>
      <c r="C212" s="64" t="str">
        <v>Achievement Pathways Improvements (2026)</v>
      </c>
      <c r="D212" s="9">
        <v>46265</v>
      </c>
      <c r="E212" s="9">
        <v>46294</v>
      </c>
      <c r="F212" s="10">
        <f t="shared" si="5"/>
        <v>2</v>
      </c>
      <c r="G212" s="11" t="str">
        <v>Prep</v>
      </c>
      <c r="H212" s="11">
        <v>0</v>
      </c>
      <c r="I212" s="11"/>
      <c r="J212" s="11"/>
      <c r="K212" s="11"/>
      <c r="L212" s="11"/>
      <c r="M212" s="11"/>
      <c r="N212" s="11"/>
      <c r="O212" s="11"/>
      <c r="P212" s="11"/>
      <c r="Q212" s="11"/>
      <c r="R212" s="11"/>
      <c r="S212" s="11"/>
      <c r="T212" s="11"/>
    </row>
    <row r="213" spans="1:20" s="6" customFormat="1" ht="18" customHeight="1" x14ac:dyDescent="0.2">
      <c r="A213" s="7">
        <v>208</v>
      </c>
      <c r="B213" s="8" t="str">
        <v>Social media promotion for Program Pulse, encouraging Units to complete towards the end of Term 3 (Achievement Pathways Improvements (2026))</v>
      </c>
      <c r="C213" s="64" t="str">
        <v>Achievement Pathways Improvements (2026)</v>
      </c>
      <c r="D213" s="9">
        <v>46265</v>
      </c>
      <c r="E213" s="9">
        <v>46279</v>
      </c>
      <c r="F213" s="10">
        <f t="shared" si="5"/>
        <v>2</v>
      </c>
      <c r="G213" s="11" t="str">
        <v>Comms</v>
      </c>
      <c r="H213" s="11">
        <v>0</v>
      </c>
      <c r="I213" s="11"/>
      <c r="J213" s="11"/>
      <c r="K213" s="11"/>
      <c r="L213" s="11"/>
      <c r="M213" s="11"/>
      <c r="N213" s="11"/>
      <c r="O213" s="11"/>
      <c r="P213" s="11"/>
      <c r="Q213" s="11"/>
      <c r="R213" s="11"/>
      <c r="S213" s="11"/>
      <c r="T213" s="11"/>
    </row>
    <row r="214" spans="1:20" s="6" customFormat="1" ht="18" customHeight="1" x14ac:dyDescent="0.2">
      <c r="A214" s="7">
        <v>209</v>
      </c>
      <c r="B214" s="8" t="str">
        <v>Australian National Flag Day</v>
      </c>
      <c r="C214" s="64" t="str">
        <v/>
      </c>
      <c r="D214" s="9">
        <v>46267</v>
      </c>
      <c r="E214" s="9">
        <v>46267</v>
      </c>
      <c r="F214" s="10">
        <f t="shared" si="5"/>
        <v>1</v>
      </c>
      <c r="G214" s="11" t="str">
        <v>Youth Program Event</v>
      </c>
      <c r="H214" s="11">
        <v>0</v>
      </c>
      <c r="I214" s="11"/>
      <c r="J214" s="11"/>
      <c r="K214" s="11"/>
      <c r="L214" s="11"/>
      <c r="M214" s="11"/>
      <c r="N214" s="11"/>
      <c r="O214" s="11"/>
      <c r="P214" s="11"/>
      <c r="Q214" s="11"/>
      <c r="R214" s="11"/>
      <c r="S214" s="11"/>
      <c r="T214" s="11"/>
    </row>
    <row r="215" spans="1:20" s="6" customFormat="1" ht="18" customHeight="1" x14ac:dyDescent="0.2">
      <c r="A215" s="7">
        <v>210</v>
      </c>
      <c r="B215" s="8" t="str">
        <v>Region Activity Weekend (RAW)</v>
      </c>
      <c r="C215" s="64" t="str">
        <v/>
      </c>
      <c r="D215" s="9">
        <v>46268</v>
      </c>
      <c r="E215" s="9">
        <v>46270</v>
      </c>
      <c r="F215" s="10">
        <f t="shared" si="5"/>
        <v>1</v>
      </c>
      <c r="G215" s="11" t="str">
        <v>Youth Program Event</v>
      </c>
      <c r="H215" s="11">
        <v>0</v>
      </c>
      <c r="I215" s="11"/>
      <c r="J215" s="11"/>
      <c r="K215" s="11"/>
      <c r="L215" s="11"/>
      <c r="M215" s="11"/>
      <c r="N215" s="11"/>
      <c r="O215" s="11"/>
      <c r="P215" s="11"/>
      <c r="Q215" s="11"/>
      <c r="R215" s="11"/>
      <c r="S215" s="11"/>
      <c r="T215" s="11"/>
    </row>
    <row r="216" spans="1:20" s="6" customFormat="1" ht="18" customHeight="1" x14ac:dyDescent="0.2">
      <c r="A216" s="7">
        <v>211</v>
      </c>
      <c r="B216" s="8" t="str">
        <v>Skillorama</v>
      </c>
      <c r="C216" s="64" t="str">
        <v/>
      </c>
      <c r="D216" s="9">
        <v>46269</v>
      </c>
      <c r="E216" s="9">
        <v>46269</v>
      </c>
      <c r="F216" s="10">
        <f t="shared" si="5"/>
        <v>1</v>
      </c>
      <c r="G216" s="11" t="str">
        <v>Youth Program Event</v>
      </c>
      <c r="H216" s="11">
        <v>0</v>
      </c>
      <c r="I216" s="11"/>
      <c r="J216" s="11"/>
      <c r="K216" s="11"/>
      <c r="L216" s="11"/>
      <c r="M216" s="11"/>
      <c r="N216" s="11"/>
      <c r="O216" s="11"/>
      <c r="P216" s="11"/>
      <c r="Q216" s="11"/>
      <c r="R216" s="11"/>
      <c r="S216" s="11"/>
      <c r="T216" s="11"/>
    </row>
    <row r="217" spans="1:20" s="6" customFormat="1" ht="18" customHeight="1" x14ac:dyDescent="0.2">
      <c r="A217" s="7">
        <v>212</v>
      </c>
      <c r="B217" s="8" t="str">
        <v>Vertical - Abseiling Natural TP (Wide Bay)</v>
      </c>
      <c r="C217" s="64" t="str">
        <v/>
      </c>
      <c r="D217" s="9">
        <v>46269</v>
      </c>
      <c r="E217" s="9">
        <v>46299</v>
      </c>
      <c r="F217" s="10">
        <f t="shared" si="5"/>
        <v>2</v>
      </c>
      <c r="G217" s="11" t="str">
        <v>Branch Calendar Event</v>
      </c>
      <c r="H217" s="11" t="str">
        <v>Training - AA</v>
      </c>
      <c r="I217" s="11"/>
      <c r="J217" s="11"/>
      <c r="K217" s="11"/>
      <c r="L217" s="11"/>
      <c r="M217" s="11"/>
      <c r="N217" s="11"/>
      <c r="O217" s="11"/>
      <c r="P217" s="11"/>
      <c r="Q217" s="11"/>
      <c r="R217" s="11"/>
      <c r="S217" s="11"/>
      <c r="T217" s="11"/>
    </row>
    <row r="218" spans="1:20" s="6" customFormat="1" ht="18" customHeight="1" x14ac:dyDescent="0.2">
      <c r="A218" s="7">
        <v>213</v>
      </c>
      <c r="B218" s="8" t="str">
        <v>Skillorama</v>
      </c>
      <c r="C218" s="64" t="str">
        <v/>
      </c>
      <c r="D218" s="9">
        <v>46270</v>
      </c>
      <c r="E218" s="9">
        <v>46270</v>
      </c>
      <c r="F218" s="10">
        <f t="shared" si="5"/>
        <v>1</v>
      </c>
      <c r="G218" s="11" t="str">
        <v>Youth Program Event</v>
      </c>
      <c r="H218" s="11">
        <v>0</v>
      </c>
      <c r="I218" s="11"/>
      <c r="J218" s="11"/>
      <c r="K218" s="11"/>
      <c r="L218" s="11"/>
      <c r="M218" s="11"/>
      <c r="N218" s="11"/>
      <c r="O218" s="11"/>
      <c r="P218" s="11"/>
      <c r="Q218" s="11"/>
      <c r="R218" s="11"/>
      <c r="S218" s="11"/>
      <c r="T218" s="11"/>
    </row>
    <row r="219" spans="1:20" s="6" customFormat="1" ht="18" customHeight="1" x14ac:dyDescent="0.2">
      <c r="A219" s="7">
        <v>214</v>
      </c>
      <c r="B219" s="8" t="str">
        <v>Scouting Leadership (Emerald)</v>
      </c>
      <c r="C219" s="64" t="str">
        <v/>
      </c>
      <c r="D219" s="9">
        <v>46274</v>
      </c>
      <c r="E219" s="9">
        <v>46335</v>
      </c>
      <c r="F219" s="10">
        <f t="shared" si="5"/>
        <v>3</v>
      </c>
      <c r="G219" s="11" t="str">
        <v>Branch Calendar Event</v>
      </c>
      <c r="H219" s="11" t="str">
        <v>Training - AA</v>
      </c>
      <c r="I219" s="11"/>
      <c r="J219" s="11"/>
      <c r="K219" s="11"/>
      <c r="L219" s="11"/>
      <c r="M219" s="11"/>
      <c r="N219" s="11"/>
      <c r="O219" s="11"/>
      <c r="P219" s="11"/>
      <c r="Q219" s="11"/>
      <c r="R219" s="11"/>
      <c r="S219" s="11"/>
      <c r="T219" s="11"/>
    </row>
    <row r="220" spans="1:20" s="6" customFormat="1" ht="18" customHeight="1" x14ac:dyDescent="0.2">
      <c r="A220" s="7">
        <v>215</v>
      </c>
      <c r="B220" s="8" t="str">
        <v>Scouting Essentials (FNQ)</v>
      </c>
      <c r="C220" s="64" t="str">
        <v/>
      </c>
      <c r="D220" s="9">
        <v>46274</v>
      </c>
      <c r="E220" s="9">
        <v>46335</v>
      </c>
      <c r="F220" s="10">
        <f t="shared" si="5"/>
        <v>3</v>
      </c>
      <c r="G220" s="11" t="str">
        <v>Branch Calendar Event</v>
      </c>
      <c r="H220" s="11">
        <v>0</v>
      </c>
      <c r="I220" s="11"/>
      <c r="J220" s="11"/>
      <c r="K220" s="11"/>
      <c r="L220" s="11"/>
      <c r="M220" s="11"/>
      <c r="N220" s="11"/>
      <c r="O220" s="11"/>
      <c r="P220" s="11"/>
      <c r="Q220" s="11"/>
      <c r="R220" s="11"/>
      <c r="S220" s="11"/>
      <c r="T220" s="11"/>
    </row>
    <row r="221" spans="1:20" s="6" customFormat="1" ht="18" customHeight="1" x14ac:dyDescent="0.2">
      <c r="A221" s="7">
        <v>216</v>
      </c>
      <c r="B221" s="8" t="str">
        <v>Scouting Leadership (Emerald)</v>
      </c>
      <c r="C221" s="64" t="str">
        <v/>
      </c>
      <c r="D221" s="9">
        <v>46274</v>
      </c>
      <c r="E221" s="9">
        <v>46335</v>
      </c>
      <c r="F221" s="10">
        <f t="shared" si="5"/>
        <v>3</v>
      </c>
      <c r="G221" s="11" t="str">
        <v>Branch Calendar Event</v>
      </c>
      <c r="H221" s="11">
        <v>0</v>
      </c>
      <c r="I221" s="11"/>
      <c r="J221" s="11"/>
      <c r="K221" s="11"/>
      <c r="L221" s="11"/>
      <c r="M221" s="11"/>
      <c r="N221" s="11"/>
      <c r="O221" s="11"/>
      <c r="P221" s="11"/>
      <c r="Q221" s="11"/>
      <c r="R221" s="11"/>
      <c r="S221" s="11"/>
      <c r="T221" s="11"/>
    </row>
    <row r="222" spans="1:20" s="6" customFormat="1" ht="18" customHeight="1" x14ac:dyDescent="0.2">
      <c r="A222" s="7">
        <v>217</v>
      </c>
      <c r="B222" s="8" t="str">
        <v>Scouting Essentials (FNQ)</v>
      </c>
      <c r="C222" s="64" t="str">
        <v/>
      </c>
      <c r="D222" s="9">
        <v>46274</v>
      </c>
      <c r="E222" s="9">
        <v>46335</v>
      </c>
      <c r="F222" s="10">
        <f t="shared" si="5"/>
        <v>3</v>
      </c>
      <c r="G222" s="11" t="str">
        <v>Branch Calendar Event</v>
      </c>
      <c r="H222" s="11" t="str">
        <v>Training - AA</v>
      </c>
      <c r="I222" s="11"/>
      <c r="J222" s="11"/>
      <c r="K222" s="11"/>
      <c r="L222" s="11"/>
      <c r="M222" s="11"/>
      <c r="N222" s="11"/>
      <c r="O222" s="11"/>
      <c r="P222" s="11"/>
      <c r="Q222" s="11"/>
      <c r="R222" s="11"/>
      <c r="S222" s="11"/>
      <c r="T222" s="11"/>
    </row>
    <row r="223" spans="1:20" s="6" customFormat="1" ht="18" customHeight="1" x14ac:dyDescent="0.2">
      <c r="A223" s="7">
        <v>218</v>
      </c>
      <c r="B223" s="8" t="str">
        <v>Cycling - Off Road - SP/TP (Brisbane)</v>
      </c>
      <c r="C223" s="64" t="str">
        <v/>
      </c>
      <c r="D223" s="9">
        <v>46276</v>
      </c>
      <c r="E223" s="9">
        <v>46276</v>
      </c>
      <c r="F223" s="10">
        <f t="shared" si="5"/>
        <v>1</v>
      </c>
      <c r="G223" s="11" t="str">
        <v>Branch Calendar Event</v>
      </c>
      <c r="H223" s="11" t="str">
        <v>Training - AA</v>
      </c>
      <c r="I223" s="11"/>
      <c r="J223" s="11"/>
      <c r="K223" s="11"/>
      <c r="L223" s="11"/>
      <c r="M223" s="11"/>
      <c r="N223" s="11"/>
      <c r="O223" s="11"/>
      <c r="P223" s="11"/>
      <c r="Q223" s="11"/>
      <c r="R223" s="11"/>
      <c r="S223" s="11"/>
      <c r="T223" s="11"/>
    </row>
    <row r="224" spans="1:20" s="6" customFormat="1" ht="18" customHeight="1" x14ac:dyDescent="0.2">
      <c r="A224" s="7">
        <v>219</v>
      </c>
      <c r="B224" s="8" t="str">
        <v>Branch Youth Venturer Scout Council</v>
      </c>
      <c r="C224" s="64" t="str">
        <v/>
      </c>
      <c r="D224" s="9">
        <v>46280</v>
      </c>
      <c r="E224" s="9">
        <v>46280</v>
      </c>
      <c r="F224" s="10">
        <f t="shared" si="5"/>
        <v>1</v>
      </c>
      <c r="G224" s="11" t="str">
        <v>Youth Program Event</v>
      </c>
      <c r="H224" s="11">
        <v>0</v>
      </c>
      <c r="I224" s="11"/>
      <c r="J224" s="11"/>
      <c r="K224" s="11"/>
      <c r="L224" s="11"/>
      <c r="M224" s="11"/>
      <c r="N224" s="11"/>
      <c r="O224" s="11"/>
      <c r="P224" s="11"/>
      <c r="Q224" s="11"/>
      <c r="R224" s="11"/>
      <c r="S224" s="11"/>
      <c r="T224" s="11"/>
    </row>
    <row r="225" spans="1:20" s="6" customFormat="1" ht="18" customHeight="1" x14ac:dyDescent="0.2">
      <c r="A225" s="7">
        <v>220</v>
      </c>
      <c r="B225" s="8" t="str">
        <v>Branch Cub Scout Section Team Meeting</v>
      </c>
      <c r="C225" s="64" t="str">
        <v/>
      </c>
      <c r="D225" s="9">
        <v>46281</v>
      </c>
      <c r="E225" s="9">
        <v>46281</v>
      </c>
      <c r="F225" s="10">
        <f t="shared" si="5"/>
        <v>1</v>
      </c>
      <c r="G225" s="11" t="str">
        <v>Youth Program Event</v>
      </c>
      <c r="H225" s="11">
        <v>0</v>
      </c>
      <c r="I225" s="11"/>
      <c r="J225" s="11"/>
      <c r="K225" s="11"/>
      <c r="L225" s="11"/>
      <c r="M225" s="11"/>
      <c r="N225" s="11"/>
      <c r="O225" s="11"/>
      <c r="P225" s="11"/>
      <c r="Q225" s="11"/>
      <c r="R225" s="11"/>
      <c r="S225" s="11"/>
      <c r="T225" s="11"/>
    </row>
    <row r="226" spans="1:20" s="6" customFormat="1" ht="18" customHeight="1" x14ac:dyDescent="0.2">
      <c r="A226" s="7">
        <v>221</v>
      </c>
      <c r="B226" s="8" t="str">
        <v>Migration of existing resources on pr.scouts.com.au to Zoho knowledge base complete (Achievement Pathways Improvements (2026))</v>
      </c>
      <c r="C226" s="64" t="str">
        <v>Achievement Pathways Improvements (2026)</v>
      </c>
      <c r="D226" s="9">
        <v>46282</v>
      </c>
      <c r="E226" s="9">
        <v>46282</v>
      </c>
      <c r="F226" s="10">
        <f t="shared" si="5"/>
        <v>1</v>
      </c>
      <c r="G226" s="11" t="str">
        <v>Prep</v>
      </c>
      <c r="H226" s="11">
        <v>0</v>
      </c>
      <c r="I226" s="11"/>
      <c r="J226" s="11"/>
      <c r="K226" s="11"/>
      <c r="L226" s="11"/>
      <c r="M226" s="11"/>
      <c r="N226" s="11"/>
      <c r="O226" s="11"/>
      <c r="P226" s="11"/>
      <c r="Q226" s="11"/>
      <c r="R226" s="11"/>
      <c r="S226" s="11"/>
      <c r="T226" s="11"/>
    </row>
    <row r="227" spans="1:20" s="6" customFormat="1" ht="18" customHeight="1" x14ac:dyDescent="0.2">
      <c r="A227" s="7">
        <v>222</v>
      </c>
      <c r="B227" s="8" t="str">
        <v>Agoonoree</v>
      </c>
      <c r="C227" s="64" t="str">
        <v/>
      </c>
      <c r="D227" s="9">
        <v>46283</v>
      </c>
      <c r="E227" s="9">
        <v>46289</v>
      </c>
      <c r="F227" s="10">
        <f t="shared" si="5"/>
        <v>1</v>
      </c>
      <c r="G227" s="11" t="str">
        <v>Youth Program Event</v>
      </c>
      <c r="H227" s="11">
        <v>0</v>
      </c>
      <c r="I227" s="11"/>
      <c r="J227" s="11"/>
      <c r="K227" s="11"/>
      <c r="L227" s="11"/>
      <c r="M227" s="11"/>
      <c r="N227" s="11"/>
      <c r="O227" s="11"/>
      <c r="P227" s="11"/>
      <c r="Q227" s="11"/>
      <c r="R227" s="11"/>
      <c r="S227" s="11"/>
      <c r="T227" s="11"/>
    </row>
    <row r="228" spans="1:20" s="6" customFormat="1" ht="18" customHeight="1" x14ac:dyDescent="0.2">
      <c r="A228" s="7">
        <v>223</v>
      </c>
      <c r="B228" s="8" t="str">
        <v>Queensland Branch Rover Council Meeting</v>
      </c>
      <c r="C228" s="64" t="str">
        <v/>
      </c>
      <c r="D228" s="9">
        <v>46284</v>
      </c>
      <c r="E228" s="9">
        <v>46284</v>
      </c>
      <c r="F228" s="10">
        <f t="shared" si="5"/>
        <v>1</v>
      </c>
      <c r="G228" s="11" t="str">
        <v>Youth Program Event</v>
      </c>
      <c r="H228" s="11">
        <v>0</v>
      </c>
      <c r="I228" s="11"/>
      <c r="J228" s="11"/>
      <c r="K228" s="11"/>
      <c r="L228" s="11"/>
      <c r="M228" s="11"/>
      <c r="N228" s="11"/>
      <c r="O228" s="11"/>
      <c r="P228" s="11"/>
      <c r="Q228" s="11"/>
      <c r="R228" s="11"/>
      <c r="S228" s="11"/>
      <c r="T228" s="11"/>
    </row>
    <row r="229" spans="1:20" s="6" customFormat="1" ht="18" customHeight="1" x14ac:dyDescent="0.2">
      <c r="A229" s="7">
        <v>224</v>
      </c>
      <c r="B229" s="8" t="str">
        <v>School Holidays (September)</v>
      </c>
      <c r="C229" s="64" t="str">
        <v/>
      </c>
      <c r="D229" s="9">
        <v>46284</v>
      </c>
      <c r="E229" s="9">
        <v>46300</v>
      </c>
      <c r="F229" s="10">
        <f t="shared" si="5"/>
        <v>2</v>
      </c>
      <c r="G229" s="11" t="str">
        <v>Reference</v>
      </c>
      <c r="H229" s="11">
        <v>0</v>
      </c>
      <c r="I229" s="11"/>
      <c r="J229" s="11"/>
      <c r="K229" s="11"/>
      <c r="L229" s="11"/>
      <c r="M229" s="11"/>
      <c r="N229" s="11"/>
      <c r="O229" s="11"/>
      <c r="P229" s="11"/>
      <c r="Q229" s="11"/>
      <c r="R229" s="11"/>
      <c r="S229" s="11"/>
      <c r="T229" s="11"/>
    </row>
    <row r="230" spans="1:20" s="6" customFormat="1" ht="18" customHeight="1" x14ac:dyDescent="0.2">
      <c r="A230" s="7">
        <v>225</v>
      </c>
      <c r="B230" s="8" t="str">
        <v>Branch Finance Committee</v>
      </c>
      <c r="C230" s="64" t="str">
        <v/>
      </c>
      <c r="D230" s="9">
        <v>46285</v>
      </c>
      <c r="E230" s="9">
        <v>46285</v>
      </c>
      <c r="F230" s="10">
        <f t="shared" si="5"/>
        <v>1</v>
      </c>
      <c r="G230" s="11" t="str">
        <v>Branch Calendar Event</v>
      </c>
      <c r="H230" s="11">
        <v>0</v>
      </c>
      <c r="I230" s="11"/>
      <c r="J230" s="11"/>
      <c r="K230" s="11"/>
      <c r="L230" s="11"/>
      <c r="M230" s="11"/>
      <c r="N230" s="11"/>
      <c r="O230" s="11"/>
      <c r="P230" s="11"/>
      <c r="Q230" s="11"/>
      <c r="R230" s="11"/>
      <c r="S230" s="11"/>
      <c r="T230" s="11"/>
    </row>
    <row r="231" spans="1:20" s="6" customFormat="1" ht="18" customHeight="1" x14ac:dyDescent="0.2">
      <c r="A231" s="7">
        <v>226</v>
      </c>
      <c r="B231" s="8" t="str">
        <v>Training modules for flexible volunteering trial updated to reflect Achievement Pathways changes (Achievement Pathways Improvements (2026))</v>
      </c>
      <c r="C231" s="64" t="str">
        <v>Achievement Pathways Improvements (2026)</v>
      </c>
      <c r="D231" s="9">
        <v>46285</v>
      </c>
      <c r="E231" s="9">
        <v>46285</v>
      </c>
      <c r="F231" s="10">
        <f t="shared" si="5"/>
        <v>1</v>
      </c>
      <c r="G231" s="11" t="str">
        <v>Prep</v>
      </c>
      <c r="H231" s="11">
        <v>0</v>
      </c>
      <c r="I231" s="11"/>
      <c r="J231" s="11"/>
      <c r="K231" s="11"/>
      <c r="L231" s="11"/>
      <c r="M231" s="11"/>
      <c r="N231" s="11"/>
      <c r="O231" s="11"/>
      <c r="P231" s="11"/>
      <c r="Q231" s="11"/>
      <c r="R231" s="11"/>
      <c r="S231" s="11"/>
      <c r="T231" s="11"/>
    </row>
    <row r="232" spans="1:20" s="6" customFormat="1" ht="18" customHeight="1" x14ac:dyDescent="0.2">
      <c r="A232" s="7">
        <v>227</v>
      </c>
      <c r="B232" s="8" t="str">
        <v>Branch Executive Committee</v>
      </c>
      <c r="C232" s="64" t="str">
        <v/>
      </c>
      <c r="D232" s="9">
        <v>46286</v>
      </c>
      <c r="E232" s="9">
        <v>46286</v>
      </c>
      <c r="F232" s="10">
        <f t="shared" si="5"/>
        <v>1</v>
      </c>
      <c r="G232" s="11" t="str">
        <v>Branch Calendar Event</v>
      </c>
      <c r="H232" s="11">
        <v>0</v>
      </c>
      <c r="I232" s="11"/>
      <c r="J232" s="11"/>
      <c r="K232" s="11"/>
      <c r="L232" s="11"/>
      <c r="M232" s="11"/>
      <c r="N232" s="11"/>
      <c r="O232" s="11"/>
      <c r="P232" s="11"/>
      <c r="Q232" s="11"/>
      <c r="R232" s="11"/>
      <c r="S232" s="11"/>
      <c r="T232" s="11"/>
    </row>
    <row r="233" spans="1:20" s="6" customFormat="1" ht="18" customHeight="1" x14ac:dyDescent="0.2">
      <c r="A233" s="7">
        <v>228</v>
      </c>
      <c r="B233" s="8" t="str">
        <v>Zoho knowledge base launched / pr.scouts.com.au retired and redirecting to Zoho (Achievement Pathways Improvements (2026))</v>
      </c>
      <c r="C233" s="64" t="str">
        <v>Achievement Pathways Improvements (2026)</v>
      </c>
      <c r="D233" s="9">
        <v>46287</v>
      </c>
      <c r="E233" s="9">
        <v>46287</v>
      </c>
      <c r="F233" s="10">
        <f t="shared" si="5"/>
        <v>1</v>
      </c>
      <c r="G233" s="11" t="str">
        <v>Prep</v>
      </c>
      <c r="H233" s="11">
        <v>0</v>
      </c>
      <c r="I233" s="11"/>
      <c r="J233" s="11"/>
      <c r="K233" s="11"/>
      <c r="L233" s="11"/>
      <c r="M233" s="11"/>
      <c r="N233" s="11"/>
      <c r="O233" s="11"/>
      <c r="P233" s="11"/>
      <c r="Q233" s="11"/>
      <c r="R233" s="11"/>
      <c r="S233" s="11"/>
      <c r="T233" s="11"/>
    </row>
    <row r="234" spans="1:20" s="6" customFormat="1" ht="18" customHeight="1" x14ac:dyDescent="0.2">
      <c r="A234" s="7">
        <v>229</v>
      </c>
      <c r="B234" s="8" t="str">
        <v>EDM with announcement of improvements and information for webinars (Achievement Pathways Improvements (2026))</v>
      </c>
      <c r="C234" s="64" t="str">
        <v>Achievement Pathways Improvements (2026)</v>
      </c>
      <c r="D234" s="9">
        <v>46287</v>
      </c>
      <c r="E234" s="9">
        <v>46287</v>
      </c>
      <c r="F234" s="10">
        <f t="shared" si="5"/>
        <v>1</v>
      </c>
      <c r="G234" s="11" t="str">
        <v>Comms</v>
      </c>
      <c r="H234" s="11">
        <v>0</v>
      </c>
      <c r="I234" s="11"/>
      <c r="J234" s="11"/>
      <c r="K234" s="11"/>
      <c r="L234" s="11"/>
      <c r="M234" s="11"/>
      <c r="N234" s="11"/>
      <c r="O234" s="11"/>
      <c r="P234" s="11"/>
      <c r="Q234" s="11"/>
      <c r="R234" s="11"/>
      <c r="S234" s="11"/>
      <c r="T234" s="11"/>
    </row>
    <row r="235" spans="1:20" s="6" customFormat="1" ht="18" customHeight="1" x14ac:dyDescent="0.2">
      <c r="A235" s="7">
        <v>230</v>
      </c>
      <c r="B235" s="8" t="str">
        <v>Announcement video posted on social media (ask Branches to share the post) (Achievement Pathways Improvements (2026))</v>
      </c>
      <c r="C235" s="64" t="str">
        <v>Achievement Pathways Improvements (2026)</v>
      </c>
      <c r="D235" s="9">
        <v>46287</v>
      </c>
      <c r="E235" s="9">
        <v>46287</v>
      </c>
      <c r="F235" s="10">
        <f t="shared" si="5"/>
        <v>1</v>
      </c>
      <c r="G235" s="11" t="str">
        <v>Comms</v>
      </c>
      <c r="H235" s="11">
        <v>0</v>
      </c>
      <c r="I235" s="11"/>
      <c r="J235" s="11"/>
      <c r="K235" s="11"/>
      <c r="L235" s="11"/>
      <c r="M235" s="11"/>
      <c r="N235" s="11"/>
      <c r="O235" s="11"/>
      <c r="P235" s="11"/>
      <c r="Q235" s="11"/>
      <c r="R235" s="11"/>
      <c r="S235" s="11"/>
      <c r="T235" s="11"/>
    </row>
    <row r="236" spans="1:20" s="6" customFormat="1" ht="18" customHeight="1" x14ac:dyDescent="0.2">
      <c r="A236" s="7">
        <v>231</v>
      </c>
      <c r="B236" s="8" t="str">
        <v>Amateur Radio Foundation Licensing Course</v>
      </c>
      <c r="C236" s="64" t="str">
        <v/>
      </c>
      <c r="D236" s="9">
        <v>46289</v>
      </c>
      <c r="E236" s="9">
        <v>46291</v>
      </c>
      <c r="F236" s="10">
        <f t="shared" si="5"/>
        <v>1</v>
      </c>
      <c r="G236" s="11" t="str">
        <v>Branch Calendar Event</v>
      </c>
      <c r="H236" s="11">
        <v>0</v>
      </c>
      <c r="I236" s="11"/>
      <c r="J236" s="11"/>
      <c r="K236" s="11"/>
      <c r="L236" s="11"/>
      <c r="M236" s="11"/>
      <c r="N236" s="11"/>
      <c r="O236" s="11"/>
      <c r="P236" s="11"/>
      <c r="Q236" s="11"/>
      <c r="R236" s="11"/>
      <c r="S236" s="11"/>
      <c r="T236" s="11"/>
    </row>
    <row r="237" spans="1:20" s="6" customFormat="1" ht="18" customHeight="1" x14ac:dyDescent="0.2">
      <c r="A237" s="7">
        <v>232</v>
      </c>
      <c r="B237" s="8" t="str">
        <v>Paddling - Sea Kayaking School (Yeppoon)</v>
      </c>
      <c r="C237" s="64" t="str">
        <v/>
      </c>
      <c r="D237" s="9">
        <v>46291</v>
      </c>
      <c r="E237" s="9">
        <v>46297</v>
      </c>
      <c r="F237" s="10">
        <f t="shared" si="5"/>
        <v>2</v>
      </c>
      <c r="G237" s="11" t="str">
        <v>Branch Calendar Event</v>
      </c>
      <c r="H237" s="11" t="str">
        <v>Training - AA</v>
      </c>
      <c r="I237" s="11"/>
      <c r="J237" s="11"/>
      <c r="K237" s="11"/>
      <c r="L237" s="11"/>
      <c r="M237" s="11"/>
      <c r="N237" s="11"/>
      <c r="O237" s="11"/>
      <c r="P237" s="11"/>
      <c r="Q237" s="11"/>
      <c r="R237" s="11"/>
      <c r="S237" s="11"/>
      <c r="T237" s="11"/>
    </row>
    <row r="238" spans="1:20" s="6" customFormat="1" ht="18" customHeight="1" x14ac:dyDescent="0.2">
      <c r="A238" s="7">
        <v>233</v>
      </c>
      <c r="B238" s="8" t="str">
        <v>National News article with further info about improvements and webinars (Achievement Pathways Improvements (2026))</v>
      </c>
      <c r="C238" s="64" t="str">
        <v>Achievement Pathways Improvements (2026)</v>
      </c>
      <c r="D238" s="9">
        <v>46294</v>
      </c>
      <c r="E238" s="9">
        <v>46294</v>
      </c>
      <c r="F238" s="10">
        <f t="shared" si="5"/>
        <v>1</v>
      </c>
      <c r="G238" s="11" t="str">
        <v>Comms</v>
      </c>
      <c r="H238" s="11">
        <v>0</v>
      </c>
      <c r="I238" s="11"/>
      <c r="J238" s="11"/>
      <c r="K238" s="11"/>
      <c r="L238" s="11"/>
      <c r="M238" s="11"/>
      <c r="N238" s="11"/>
      <c r="O238" s="11"/>
      <c r="P238" s="11"/>
      <c r="Q238" s="11"/>
      <c r="R238" s="11"/>
      <c r="S238" s="11"/>
      <c r="T238" s="11"/>
    </row>
    <row r="239" spans="1:20" s="6" customFormat="1" ht="18" customHeight="1" x14ac:dyDescent="0.2">
      <c r="A239" s="7">
        <v>234</v>
      </c>
      <c r="B239" s="8" t="str">
        <v>Social media campaign to support awareness of improvements and webinars (Achievement Pathways Improvements (2026))</v>
      </c>
      <c r="C239" s="64" t="str">
        <v>Achievement Pathways Improvements (2026)</v>
      </c>
      <c r="D239" s="9">
        <v>46295</v>
      </c>
      <c r="E239" s="9">
        <v>46324</v>
      </c>
      <c r="F239" s="10">
        <f t="shared" si="5"/>
        <v>2</v>
      </c>
      <c r="G239" s="11" t="str">
        <v>Comms</v>
      </c>
      <c r="H239" s="11">
        <v>0</v>
      </c>
      <c r="I239" s="11"/>
      <c r="J239" s="11"/>
      <c r="K239" s="11"/>
      <c r="L239" s="11"/>
      <c r="M239" s="11"/>
      <c r="N239" s="11"/>
      <c r="O239" s="11"/>
      <c r="P239" s="11"/>
      <c r="Q239" s="11"/>
      <c r="R239" s="11"/>
      <c r="S239" s="11"/>
      <c r="T239" s="11"/>
    </row>
    <row r="240" spans="1:20" s="6" customFormat="1" ht="18" customHeight="1" x14ac:dyDescent="0.2">
      <c r="A240" s="7">
        <v>235</v>
      </c>
      <c r="B240" s="8" t="str">
        <v>Achievement Pathways webinars for Youth Program Leaders and Unit Councils (4 webinars + publish recording afterwards) (Achievement Pathways Improvements (2026))</v>
      </c>
      <c r="C240" s="64" t="str">
        <v>Achievement Pathways Improvements (2026)</v>
      </c>
      <c r="D240" s="9">
        <v>46295</v>
      </c>
      <c r="E240" s="9">
        <v>46310</v>
      </c>
      <c r="F240" s="10">
        <f t="shared" si="5"/>
        <v>2</v>
      </c>
      <c r="G240" s="11" t="str">
        <v>Event</v>
      </c>
      <c r="H240" s="11">
        <v>0</v>
      </c>
      <c r="I240" s="11"/>
      <c r="J240" s="11"/>
      <c r="K240" s="11"/>
      <c r="L240" s="11"/>
      <c r="M240" s="11"/>
      <c r="N240" s="11"/>
      <c r="O240" s="11"/>
      <c r="P240" s="11"/>
      <c r="Q240" s="11"/>
      <c r="R240" s="11"/>
      <c r="S240" s="11"/>
      <c r="T240" s="11"/>
    </row>
    <row r="241" spans="1:20" s="6" customFormat="1" ht="18" customHeight="1" x14ac:dyDescent="0.2">
      <c r="A241" s="7">
        <v>236</v>
      </c>
      <c r="B241" s="8" t="str">
        <v>Scouting Adventure (Brisbane)</v>
      </c>
      <c r="C241" s="64" t="str">
        <v/>
      </c>
      <c r="D241" s="9">
        <v>46296</v>
      </c>
      <c r="E241" s="9">
        <v>46298</v>
      </c>
      <c r="F241" s="10">
        <f t="shared" si="5"/>
        <v>1</v>
      </c>
      <c r="G241" s="11" t="str">
        <v>Branch Calendar Event</v>
      </c>
      <c r="H241" s="11" t="str">
        <v>Training - AA</v>
      </c>
      <c r="I241" s="11"/>
      <c r="J241" s="11"/>
      <c r="K241" s="11"/>
      <c r="L241" s="11"/>
      <c r="M241" s="11"/>
      <c r="N241" s="11"/>
      <c r="O241" s="11"/>
      <c r="P241" s="11"/>
      <c r="Q241" s="11"/>
      <c r="R241" s="11"/>
      <c r="S241" s="11"/>
      <c r="T241" s="11"/>
    </row>
    <row r="242" spans="1:20" s="6" customFormat="1" ht="18" customHeight="1" x14ac:dyDescent="0.2">
      <c r="A242" s="7">
        <v>237</v>
      </c>
      <c r="B242" s="8" t="str">
        <v>Scouting Essentials (Brisbane)</v>
      </c>
      <c r="C242" s="64" t="str">
        <v/>
      </c>
      <c r="D242" s="9">
        <v>46296</v>
      </c>
      <c r="E242" s="9">
        <v>46298</v>
      </c>
      <c r="F242" s="10">
        <f t="shared" si="5"/>
        <v>1</v>
      </c>
      <c r="G242" s="11" t="str">
        <v>Branch Calendar Event</v>
      </c>
      <c r="H242" s="11" t="str">
        <v>Training - AA</v>
      </c>
      <c r="I242" s="11"/>
      <c r="J242" s="11"/>
      <c r="K242" s="11"/>
      <c r="L242" s="11"/>
      <c r="M242" s="11"/>
      <c r="N242" s="11"/>
      <c r="O242" s="11"/>
      <c r="P242" s="11"/>
      <c r="Q242" s="11"/>
      <c r="R242" s="11"/>
      <c r="S242" s="11"/>
      <c r="T242" s="11"/>
    </row>
    <row r="243" spans="1:20" s="6" customFormat="1" ht="18" customHeight="1" x14ac:dyDescent="0.2">
      <c r="A243" s="7">
        <v>238</v>
      </c>
      <c r="B243" s="8" t="str">
        <v>Scouting Essentials (Bundaberg)</v>
      </c>
      <c r="C243" s="64" t="str">
        <v/>
      </c>
      <c r="D243" s="9">
        <v>46298</v>
      </c>
      <c r="E243" s="9">
        <v>46359</v>
      </c>
      <c r="F243" s="10">
        <f t="shared" si="5"/>
        <v>3</v>
      </c>
      <c r="G243" s="11" t="str">
        <v>Branch Calendar Event</v>
      </c>
      <c r="H243" s="11" t="str">
        <v>Training - AA</v>
      </c>
      <c r="I243" s="11"/>
      <c r="J243" s="11"/>
      <c r="K243" s="11"/>
      <c r="L243" s="11"/>
      <c r="M243" s="11"/>
      <c r="N243" s="11"/>
      <c r="O243" s="11"/>
      <c r="P243" s="11"/>
      <c r="Q243" s="11"/>
      <c r="R243" s="11"/>
      <c r="S243" s="11"/>
      <c r="T243" s="11"/>
    </row>
    <row r="244" spans="1:20" s="6" customFormat="1" ht="18" customHeight="1" x14ac:dyDescent="0.2">
      <c r="A244" s="7">
        <v>239</v>
      </c>
      <c r="B244" s="8" t="str">
        <v>Term 4 begins in all states/territories (Achievement Pathways Improvements (2026))</v>
      </c>
      <c r="C244" s="64" t="str">
        <v>Achievement Pathways Improvements (2026)</v>
      </c>
      <c r="D244" s="9">
        <v>46299</v>
      </c>
      <c r="E244" s="9">
        <v>46299</v>
      </c>
      <c r="F244" s="10">
        <f t="shared" si="5"/>
        <v>1</v>
      </c>
      <c r="G244" s="11" t="str">
        <v>Event</v>
      </c>
      <c r="H244" s="11">
        <v>0</v>
      </c>
      <c r="I244" s="11"/>
      <c r="J244" s="11"/>
      <c r="K244" s="11"/>
      <c r="L244" s="11"/>
      <c r="M244" s="11"/>
      <c r="N244" s="11"/>
      <c r="O244" s="11"/>
      <c r="P244" s="11"/>
      <c r="Q244" s="11"/>
      <c r="R244" s="11"/>
      <c r="S244" s="11"/>
      <c r="T244" s="11"/>
    </row>
    <row r="245" spans="1:20" s="6" customFormat="1" ht="18" customHeight="1" x14ac:dyDescent="0.2">
      <c r="A245" s="7">
        <v>240</v>
      </c>
      <c r="B245" s="8" t="str">
        <v>King's Birthday Public Holiday</v>
      </c>
      <c r="C245" s="64" t="str">
        <v/>
      </c>
      <c r="D245" s="9">
        <v>46299</v>
      </c>
      <c r="E245" s="9">
        <v>46299</v>
      </c>
      <c r="F245" s="10">
        <f t="shared" si="5"/>
        <v>1</v>
      </c>
      <c r="G245" s="11" t="str">
        <v>Youth Program Event</v>
      </c>
      <c r="H245" s="11">
        <v>0</v>
      </c>
      <c r="I245" s="11"/>
      <c r="J245" s="11"/>
      <c r="K245" s="11"/>
      <c r="L245" s="11"/>
      <c r="M245" s="11"/>
      <c r="N245" s="11"/>
      <c r="O245" s="11"/>
      <c r="P245" s="11"/>
      <c r="Q245" s="11"/>
      <c r="R245" s="11"/>
      <c r="S245" s="11"/>
      <c r="T245" s="11"/>
    </row>
    <row r="246" spans="1:20" s="6" customFormat="1" ht="18" customHeight="1" x14ac:dyDescent="0.2">
      <c r="A246" s="7">
        <v>241</v>
      </c>
      <c r="B246" s="8" t="str">
        <v>Scouting Adventure (Brisbane)</v>
      </c>
      <c r="C246" s="64" t="str">
        <v/>
      </c>
      <c r="D246" s="9">
        <v>46301</v>
      </c>
      <c r="E246" s="9">
        <v>46362</v>
      </c>
      <c r="F246" s="10">
        <f t="shared" si="5"/>
        <v>3</v>
      </c>
      <c r="G246" s="11" t="str">
        <v>Branch Calendar Event</v>
      </c>
      <c r="H246" s="11" t="str">
        <v>Training - AA</v>
      </c>
      <c r="I246" s="11"/>
      <c r="J246" s="11"/>
      <c r="K246" s="11"/>
      <c r="L246" s="11"/>
      <c r="M246" s="11"/>
      <c r="N246" s="11"/>
      <c r="O246" s="11"/>
      <c r="P246" s="11"/>
      <c r="Q246" s="11"/>
      <c r="R246" s="11"/>
      <c r="S246" s="11"/>
      <c r="T246" s="11"/>
    </row>
    <row r="247" spans="1:20" s="6" customFormat="1" ht="18" customHeight="1" x14ac:dyDescent="0.2">
      <c r="A247" s="7">
        <v>242</v>
      </c>
      <c r="B247" s="8" t="str">
        <v>Scouting Essentials (Brisbane)</v>
      </c>
      <c r="C247" s="64" t="str">
        <v/>
      </c>
      <c r="D247" s="9">
        <v>46301</v>
      </c>
      <c r="E247" s="9">
        <v>46362</v>
      </c>
      <c r="F247" s="10">
        <f t="shared" si="5"/>
        <v>3</v>
      </c>
      <c r="G247" s="11" t="str">
        <v>Branch Calendar Event</v>
      </c>
      <c r="H247" s="11" t="str">
        <v>Training - AA</v>
      </c>
      <c r="I247" s="11"/>
      <c r="J247" s="11"/>
      <c r="K247" s="11"/>
      <c r="L247" s="11"/>
      <c r="M247" s="11"/>
      <c r="N247" s="11"/>
      <c r="O247" s="11"/>
      <c r="P247" s="11"/>
      <c r="Q247" s="11"/>
      <c r="R247" s="11"/>
      <c r="S247" s="11"/>
      <c r="T247" s="11"/>
    </row>
    <row r="248" spans="1:20" s="6" customFormat="1" ht="18" customHeight="1" x14ac:dyDescent="0.2">
      <c r="A248" s="7">
        <v>243</v>
      </c>
      <c r="B248" s="8" t="str">
        <v>Scouting Essentials (Brisbane)</v>
      </c>
      <c r="C248" s="64" t="str">
        <v/>
      </c>
      <c r="D248" s="9">
        <v>46301</v>
      </c>
      <c r="E248" s="9">
        <v>46362</v>
      </c>
      <c r="F248" s="10">
        <f t="shared" si="5"/>
        <v>3</v>
      </c>
      <c r="G248" s="11" t="str">
        <v>Branch Calendar Event</v>
      </c>
      <c r="H248" s="11">
        <v>0</v>
      </c>
      <c r="I248" s="11"/>
      <c r="J248" s="11"/>
      <c r="K248" s="11"/>
      <c r="L248" s="11"/>
      <c r="M248" s="11"/>
      <c r="N248" s="11"/>
      <c r="O248" s="11"/>
      <c r="P248" s="11"/>
      <c r="Q248" s="11"/>
      <c r="R248" s="11"/>
      <c r="S248" s="11"/>
      <c r="T248" s="11"/>
    </row>
    <row r="249" spans="1:20" s="6" customFormat="1" ht="18" customHeight="1" x14ac:dyDescent="0.2">
      <c r="A249" s="7">
        <v>244</v>
      </c>
      <c r="B249" s="8" t="str">
        <v>Scouting Adventure (Brisbane)</v>
      </c>
      <c r="C249" s="64" t="str">
        <v/>
      </c>
      <c r="D249" s="9">
        <v>46301</v>
      </c>
      <c r="E249" s="9">
        <v>46362</v>
      </c>
      <c r="F249" s="10">
        <f t="shared" si="5"/>
        <v>3</v>
      </c>
      <c r="G249" s="11" t="str">
        <v>Branch Calendar Event</v>
      </c>
      <c r="H249" s="11">
        <v>0</v>
      </c>
      <c r="I249" s="11"/>
      <c r="J249" s="11"/>
      <c r="K249" s="11"/>
      <c r="L249" s="11"/>
      <c r="M249" s="11"/>
      <c r="N249" s="11"/>
      <c r="O249" s="11"/>
      <c r="P249" s="11"/>
      <c r="Q249" s="11"/>
      <c r="R249" s="11"/>
      <c r="S249" s="11"/>
      <c r="T249" s="11"/>
    </row>
    <row r="250" spans="1:20" s="6" customFormat="1" ht="18" customHeight="1" x14ac:dyDescent="0.2">
      <c r="A250" s="7">
        <v>245</v>
      </c>
      <c r="B250" s="8" t="str">
        <v>Scouting Management - Commissioners and Advisors (Online)</v>
      </c>
      <c r="C250" s="64" t="str">
        <v/>
      </c>
      <c r="D250" s="9">
        <v>46302</v>
      </c>
      <c r="E250" s="9">
        <v>46323</v>
      </c>
      <c r="F250" s="10">
        <f t="shared" si="5"/>
        <v>1</v>
      </c>
      <c r="G250" s="11" t="str">
        <v>Branch Calendar Event</v>
      </c>
      <c r="H250" s="11" t="str">
        <v>Training - AA</v>
      </c>
      <c r="I250" s="11"/>
      <c r="J250" s="11"/>
      <c r="K250" s="11"/>
      <c r="L250" s="11"/>
      <c r="M250" s="11"/>
      <c r="N250" s="11"/>
      <c r="O250" s="11"/>
      <c r="P250" s="11"/>
      <c r="Q250" s="11"/>
      <c r="R250" s="11"/>
      <c r="S250" s="11"/>
      <c r="T250" s="11"/>
    </row>
    <row r="251" spans="1:20" s="6" customFormat="1" ht="18" customHeight="1" x14ac:dyDescent="0.2">
      <c r="A251" s="7">
        <v>246</v>
      </c>
      <c r="B251" s="8" t="str">
        <v>Scouting Essentials (FNQ)</v>
      </c>
      <c r="C251" s="64" t="str">
        <v/>
      </c>
      <c r="D251" s="9">
        <v>46303</v>
      </c>
      <c r="E251" s="9">
        <v>46305</v>
      </c>
      <c r="F251" s="10">
        <f t="shared" si="5"/>
        <v>1</v>
      </c>
      <c r="G251" s="11" t="str">
        <v>Branch Calendar Event</v>
      </c>
      <c r="H251" s="11" t="str">
        <v>Training - AA</v>
      </c>
      <c r="I251" s="11"/>
      <c r="J251" s="11"/>
      <c r="K251" s="11"/>
      <c r="L251" s="11"/>
      <c r="M251" s="11"/>
      <c r="N251" s="11"/>
      <c r="O251" s="11"/>
      <c r="P251" s="11"/>
      <c r="Q251" s="11"/>
      <c r="R251" s="11"/>
      <c r="S251" s="11"/>
      <c r="T251" s="11"/>
    </row>
    <row r="252" spans="1:20" s="6" customFormat="1" ht="18" customHeight="1" x14ac:dyDescent="0.2">
      <c r="A252" s="7">
        <v>247</v>
      </c>
      <c r="B252" s="8" t="str">
        <v>Scouting Leadership (Emerald)</v>
      </c>
      <c r="C252" s="64" t="str">
        <v/>
      </c>
      <c r="D252" s="9">
        <v>46303</v>
      </c>
      <c r="E252" s="9">
        <v>46305</v>
      </c>
      <c r="F252" s="10">
        <f t="shared" si="5"/>
        <v>1</v>
      </c>
      <c r="G252" s="11" t="str">
        <v>Branch Calendar Event</v>
      </c>
      <c r="H252" s="11" t="str">
        <v>Training - AA</v>
      </c>
      <c r="I252" s="11"/>
      <c r="J252" s="11"/>
      <c r="K252" s="11"/>
      <c r="L252" s="11"/>
      <c r="M252" s="11"/>
      <c r="N252" s="11"/>
      <c r="O252" s="11"/>
      <c r="P252" s="11"/>
      <c r="Q252" s="11"/>
      <c r="R252" s="11"/>
      <c r="S252" s="11"/>
      <c r="T252" s="11"/>
    </row>
    <row r="253" spans="1:20" s="6" customFormat="1" ht="18" customHeight="1" x14ac:dyDescent="0.2">
      <c r="A253" s="7">
        <v>248</v>
      </c>
      <c r="B253" s="8" t="str">
        <v>Archery - SP/TP/G</v>
      </c>
      <c r="C253" s="64" t="str">
        <v/>
      </c>
      <c r="D253" s="9">
        <v>46304</v>
      </c>
      <c r="E253" s="9">
        <v>46305</v>
      </c>
      <c r="F253" s="10">
        <f t="shared" si="5"/>
        <v>1</v>
      </c>
      <c r="G253" s="11" t="str">
        <v>Branch Calendar Event</v>
      </c>
      <c r="H253" s="11" t="str">
        <v>Training - AA</v>
      </c>
      <c r="I253" s="11"/>
      <c r="J253" s="11"/>
      <c r="K253" s="11"/>
      <c r="L253" s="11"/>
      <c r="M253" s="11"/>
      <c r="N253" s="11"/>
      <c r="O253" s="11"/>
      <c r="P253" s="11"/>
      <c r="Q253" s="11"/>
      <c r="R253" s="11"/>
      <c r="S253" s="11"/>
      <c r="T253" s="11"/>
    </row>
    <row r="254" spans="1:20" s="6" customFormat="1" ht="18" customHeight="1" x14ac:dyDescent="0.2">
      <c r="A254" s="7">
        <v>249</v>
      </c>
      <c r="B254" s="8" t="str">
        <v>Archery - SP/TP/G</v>
      </c>
      <c r="C254" s="64" t="str">
        <v/>
      </c>
      <c r="D254" s="9">
        <v>46304</v>
      </c>
      <c r="E254" s="9">
        <v>46335</v>
      </c>
      <c r="F254" s="10">
        <f t="shared" si="5"/>
        <v>2</v>
      </c>
      <c r="G254" s="11" t="str">
        <v>Branch Calendar Event</v>
      </c>
      <c r="H254" s="11" t="str">
        <v>Training - AA</v>
      </c>
      <c r="I254" s="11"/>
      <c r="J254" s="11"/>
      <c r="K254" s="11"/>
      <c r="L254" s="11"/>
      <c r="M254" s="11"/>
      <c r="N254" s="11"/>
      <c r="O254" s="11"/>
      <c r="P254" s="11"/>
      <c r="Q254" s="11"/>
      <c r="R254" s="11"/>
      <c r="S254" s="11"/>
      <c r="T254" s="11"/>
    </row>
    <row r="255" spans="1:20" s="6" customFormat="1" ht="18" customHeight="1" x14ac:dyDescent="0.2">
      <c r="A255" s="7">
        <v>250</v>
      </c>
      <c r="B255" s="8" t="str">
        <v>Archery - SP/TP/G</v>
      </c>
      <c r="C255" s="64" t="str">
        <v/>
      </c>
      <c r="D255" s="9">
        <v>46304</v>
      </c>
      <c r="E255" s="9">
        <v>46335</v>
      </c>
      <c r="F255" s="10">
        <f t="shared" si="5"/>
        <v>2</v>
      </c>
      <c r="G255" s="11" t="str">
        <v>Branch Calendar Event</v>
      </c>
      <c r="H255" s="11">
        <v>0</v>
      </c>
      <c r="I255" s="11"/>
      <c r="J255" s="11"/>
      <c r="K255" s="11"/>
      <c r="L255" s="11"/>
      <c r="M255" s="11"/>
      <c r="N255" s="11"/>
      <c r="O255" s="11"/>
      <c r="P255" s="11"/>
      <c r="Q255" s="11"/>
      <c r="R255" s="11"/>
      <c r="S255" s="11"/>
      <c r="T255" s="11"/>
    </row>
    <row r="256" spans="1:20" s="6" customFormat="1" ht="18" customHeight="1" x14ac:dyDescent="0.2">
      <c r="A256" s="7">
        <v>251</v>
      </c>
      <c r="B256" s="8" t="str">
        <v>Branch Cub Scout Section Team Meeting</v>
      </c>
      <c r="C256" s="64" t="str">
        <v/>
      </c>
      <c r="D256" s="9">
        <v>46309</v>
      </c>
      <c r="E256" s="9">
        <v>46309</v>
      </c>
      <c r="F256" s="10">
        <f t="shared" si="5"/>
        <v>1</v>
      </c>
      <c r="G256" s="11" t="str">
        <v>Youth Program Event</v>
      </c>
      <c r="H256" s="11">
        <v>0</v>
      </c>
      <c r="I256" s="11"/>
      <c r="J256" s="11"/>
      <c r="K256" s="11"/>
      <c r="L256" s="11"/>
      <c r="M256" s="11"/>
      <c r="N256" s="11"/>
      <c r="O256" s="11"/>
      <c r="P256" s="11"/>
      <c r="Q256" s="11"/>
      <c r="R256" s="11"/>
      <c r="S256" s="11"/>
      <c r="T256" s="11"/>
    </row>
    <row r="257" spans="1:20" s="6" customFormat="1" ht="18" customHeight="1" x14ac:dyDescent="0.2">
      <c r="A257" s="7">
        <v>252</v>
      </c>
      <c r="B257" s="8" t="str">
        <v>JOTA/JOTI</v>
      </c>
      <c r="C257" s="64" t="str">
        <v/>
      </c>
      <c r="D257" s="9">
        <v>46310</v>
      </c>
      <c r="E257" s="9">
        <v>46312</v>
      </c>
      <c r="F257" s="10">
        <f t="shared" si="5"/>
        <v>1</v>
      </c>
      <c r="G257" s="11" t="str">
        <v>Youth Program Event</v>
      </c>
      <c r="H257" s="11">
        <v>0</v>
      </c>
      <c r="I257" s="11"/>
      <c r="J257" s="11"/>
      <c r="K257" s="11"/>
      <c r="L257" s="11"/>
      <c r="M257" s="11"/>
      <c r="N257" s="11"/>
      <c r="O257" s="11"/>
      <c r="P257" s="11"/>
      <c r="Q257" s="11"/>
      <c r="R257" s="11"/>
      <c r="S257" s="11"/>
      <c r="T257" s="11"/>
    </row>
    <row r="258" spans="1:20" s="6" customFormat="1" ht="18" customHeight="1" x14ac:dyDescent="0.2">
      <c r="A258" s="7">
        <v>253</v>
      </c>
      <c r="B258" s="8" t="str">
        <v>JOTA/JOTI Activity Camp - Murrenbong</v>
      </c>
      <c r="C258" s="64" t="str">
        <v/>
      </c>
      <c r="D258" s="9">
        <v>46311</v>
      </c>
      <c r="E258" s="9">
        <v>46312</v>
      </c>
      <c r="F258" s="10">
        <f t="shared" si="5"/>
        <v>1</v>
      </c>
      <c r="G258" s="11" t="str">
        <v>Youth Program Event</v>
      </c>
      <c r="H258" s="11">
        <v>0</v>
      </c>
      <c r="I258" s="11"/>
      <c r="J258" s="11"/>
      <c r="K258" s="11"/>
      <c r="L258" s="11"/>
      <c r="M258" s="11"/>
      <c r="N258" s="11"/>
      <c r="O258" s="11"/>
      <c r="P258" s="11"/>
      <c r="Q258" s="11"/>
      <c r="R258" s="11"/>
      <c r="S258" s="11"/>
      <c r="T258" s="11"/>
    </row>
    <row r="259" spans="1:20" s="6" customFormat="1" ht="18" customHeight="1" x14ac:dyDescent="0.2">
      <c r="A259" s="7">
        <v>254</v>
      </c>
      <c r="B259" s="8" t="str">
        <v>JOTA/JOTI Activity Camp - BP Park</v>
      </c>
      <c r="C259" s="64" t="str">
        <v/>
      </c>
      <c r="D259" s="9">
        <v>46311</v>
      </c>
      <c r="E259" s="9">
        <v>46312</v>
      </c>
      <c r="F259" s="10">
        <f t="shared" si="5"/>
        <v>1</v>
      </c>
      <c r="G259" s="11" t="str">
        <v>Youth Program Event</v>
      </c>
      <c r="H259" s="11">
        <v>0</v>
      </c>
      <c r="I259" s="11"/>
      <c r="J259" s="11"/>
      <c r="K259" s="11"/>
      <c r="L259" s="11"/>
      <c r="M259" s="11"/>
      <c r="N259" s="11"/>
      <c r="O259" s="11"/>
      <c r="P259" s="11"/>
      <c r="Q259" s="11"/>
      <c r="R259" s="11"/>
      <c r="S259" s="11"/>
      <c r="T259" s="11"/>
    </row>
    <row r="260" spans="1:20" s="6" customFormat="1" ht="18" customHeight="1" x14ac:dyDescent="0.2">
      <c r="A260" s="7">
        <v>255</v>
      </c>
      <c r="B260" s="8" t="str">
        <v>Queensland Branch Rover Council Meeting</v>
      </c>
      <c r="C260" s="64" t="str">
        <v/>
      </c>
      <c r="D260" s="9">
        <v>46312</v>
      </c>
      <c r="E260" s="9">
        <v>46312</v>
      </c>
      <c r="F260" s="10">
        <f t="shared" si="5"/>
        <v>1</v>
      </c>
      <c r="G260" s="11" t="str">
        <v>Youth Program Event</v>
      </c>
      <c r="H260" s="11" t="str">
        <v>Rover Scouts</v>
      </c>
      <c r="I260" s="11"/>
      <c r="J260" s="11"/>
      <c r="K260" s="11"/>
      <c r="L260" s="11"/>
      <c r="M260" s="11"/>
      <c r="N260" s="11"/>
      <c r="O260" s="11"/>
      <c r="P260" s="11"/>
      <c r="Q260" s="11"/>
      <c r="R260" s="11"/>
      <c r="S260" s="11"/>
      <c r="T260" s="11"/>
    </row>
    <row r="261" spans="1:20" s="6" customFormat="1" ht="18" customHeight="1" x14ac:dyDescent="0.2">
      <c r="A261" s="7">
        <v>256</v>
      </c>
      <c r="B261" s="8" t="str">
        <v>Branch Scout Section Council</v>
      </c>
      <c r="C261" s="64" t="str">
        <v/>
      </c>
      <c r="D261" s="9">
        <v>46313</v>
      </c>
      <c r="E261" s="9">
        <v>46313</v>
      </c>
      <c r="F261" s="10">
        <f t="shared" si="5"/>
        <v>1</v>
      </c>
      <c r="G261" s="11" t="str">
        <v>Youth Program Event</v>
      </c>
      <c r="H261" s="11">
        <v>0</v>
      </c>
      <c r="I261" s="11"/>
      <c r="J261" s="11"/>
      <c r="K261" s="11"/>
      <c r="L261" s="11"/>
      <c r="M261" s="11"/>
      <c r="N261" s="11"/>
      <c r="O261" s="11"/>
      <c r="P261" s="11"/>
      <c r="Q261" s="11"/>
      <c r="R261" s="11"/>
      <c r="S261" s="11"/>
      <c r="T261" s="11"/>
    </row>
    <row r="262" spans="1:20" s="6" customFormat="1" ht="18" customHeight="1" x14ac:dyDescent="0.2">
      <c r="A262" s="7">
        <v>257</v>
      </c>
      <c r="B262" s="8" t="str">
        <v>Branch Finance Committee</v>
      </c>
      <c r="C262" s="64" t="str">
        <v/>
      </c>
      <c r="D262" s="9">
        <v>46313</v>
      </c>
      <c r="E262" s="9">
        <v>46313</v>
      </c>
      <c r="F262" s="10">
        <f t="shared" ref="F262:F325" si="6">IF(OR(ISBLANK(start_date),ISBLANK(end_date)),"",1+ROUND(((EOMONTH(end_date,0)-EOMONTH(start_date,0))/30),0))</f>
        <v>1</v>
      </c>
      <c r="G262" s="11" t="str">
        <v>Branch Calendar Event</v>
      </c>
      <c r="H262" s="11">
        <v>0</v>
      </c>
      <c r="I262" s="11"/>
      <c r="J262" s="11"/>
      <c r="K262" s="11"/>
      <c r="L262" s="11"/>
      <c r="M262" s="11"/>
      <c r="N262" s="11"/>
      <c r="O262" s="11"/>
      <c r="P262" s="11"/>
      <c r="Q262" s="11"/>
      <c r="R262" s="11"/>
      <c r="S262" s="11"/>
      <c r="T262" s="11"/>
    </row>
    <row r="263" spans="1:20" s="6" customFormat="1" ht="18" customHeight="1" x14ac:dyDescent="0.2">
      <c r="A263" s="7">
        <v>258</v>
      </c>
      <c r="B263" s="8" t="str">
        <v>Branch Joey Scout Council</v>
      </c>
      <c r="C263" s="64" t="str">
        <v/>
      </c>
      <c r="D263" s="9">
        <v>46315</v>
      </c>
      <c r="E263" s="9">
        <v>46315</v>
      </c>
      <c r="F263" s="10">
        <f t="shared" si="6"/>
        <v>1</v>
      </c>
      <c r="G263" s="11" t="str">
        <v>Youth Program Event</v>
      </c>
      <c r="H263" s="11" t="str">
        <v>Joey Scouts</v>
      </c>
      <c r="I263" s="11"/>
      <c r="J263" s="11"/>
      <c r="K263" s="11"/>
      <c r="L263" s="11"/>
      <c r="M263" s="11"/>
      <c r="N263" s="11"/>
      <c r="O263" s="11"/>
      <c r="P263" s="11"/>
      <c r="Q263" s="11"/>
      <c r="R263" s="11"/>
      <c r="S263" s="11"/>
      <c r="T263" s="11"/>
    </row>
    <row r="264" spans="1:20" s="6" customFormat="1" ht="18" customHeight="1" x14ac:dyDescent="0.2">
      <c r="A264" s="7">
        <v>259</v>
      </c>
      <c r="B264" s="8" t="str">
        <v>Branch Youth Venturer Scout Council</v>
      </c>
      <c r="C264" s="64" t="str">
        <v/>
      </c>
      <c r="D264" s="9">
        <v>46315</v>
      </c>
      <c r="E264" s="9">
        <v>46315</v>
      </c>
      <c r="F264" s="10">
        <f t="shared" si="6"/>
        <v>1</v>
      </c>
      <c r="G264" s="11" t="str">
        <v>Youth Program Event</v>
      </c>
      <c r="H264" s="11">
        <v>0</v>
      </c>
      <c r="I264" s="11"/>
      <c r="J264" s="11"/>
      <c r="K264" s="11"/>
      <c r="L264" s="11"/>
      <c r="M264" s="11"/>
      <c r="N264" s="11"/>
      <c r="O264" s="11"/>
      <c r="P264" s="11"/>
      <c r="Q264" s="11"/>
      <c r="R264" s="11"/>
      <c r="S264" s="11"/>
      <c r="T264" s="11"/>
    </row>
    <row r="265" spans="1:20" s="6" customFormat="1" ht="18" customHeight="1" x14ac:dyDescent="0.2">
      <c r="A265" s="7">
        <v>260</v>
      </c>
      <c r="B265" s="8" t="str">
        <v>Scouting Adventure (Rockhampton)</v>
      </c>
      <c r="C265" s="64" t="str">
        <v/>
      </c>
      <c r="D265" s="9">
        <v>46317</v>
      </c>
      <c r="E265" s="9">
        <v>46319</v>
      </c>
      <c r="F265" s="10">
        <f t="shared" si="6"/>
        <v>1</v>
      </c>
      <c r="G265" s="11" t="str">
        <v>Branch Calendar Event</v>
      </c>
      <c r="H265" s="11" t="str">
        <v>Training - AA</v>
      </c>
      <c r="I265" s="11"/>
      <c r="J265" s="11"/>
      <c r="K265" s="11"/>
      <c r="L265" s="11"/>
      <c r="M265" s="11"/>
      <c r="N265" s="11"/>
      <c r="O265" s="11"/>
      <c r="P265" s="11"/>
      <c r="Q265" s="11"/>
      <c r="R265" s="11"/>
      <c r="S265" s="11"/>
      <c r="T265" s="11"/>
    </row>
    <row r="266" spans="1:20" s="6" customFormat="1" ht="18" customHeight="1" x14ac:dyDescent="0.2">
      <c r="A266" s="7">
        <v>261</v>
      </c>
      <c r="B266" s="8" t="str">
        <v>Vertical - Abseiling Natural Surfaces - TP (FNR)</v>
      </c>
      <c r="C266" s="64" t="str">
        <v/>
      </c>
      <c r="D266" s="9">
        <v>46318</v>
      </c>
      <c r="E266" s="9">
        <v>46319</v>
      </c>
      <c r="F266" s="10">
        <f t="shared" si="6"/>
        <v>1</v>
      </c>
      <c r="G266" s="11" t="str">
        <v>Branch Calendar Event</v>
      </c>
      <c r="H266" s="11" t="str">
        <v>Training - AA</v>
      </c>
      <c r="I266" s="11"/>
      <c r="J266" s="11"/>
      <c r="K266" s="11"/>
      <c r="L266" s="11"/>
      <c r="M266" s="11"/>
      <c r="N266" s="11"/>
      <c r="O266" s="11"/>
      <c r="P266" s="11"/>
      <c r="Q266" s="11"/>
      <c r="R266" s="11"/>
      <c r="S266" s="11"/>
      <c r="T266" s="11"/>
    </row>
    <row r="267" spans="1:20" s="6" customFormat="1" ht="18" customHeight="1" x14ac:dyDescent="0.2">
      <c r="A267" s="7">
        <v>262</v>
      </c>
      <c r="B267" s="8" t="str">
        <v>ScoutOut</v>
      </c>
      <c r="C267" s="64" t="str">
        <v/>
      </c>
      <c r="D267" s="9">
        <v>46319</v>
      </c>
      <c r="E267" s="9">
        <v>46320</v>
      </c>
      <c r="F267" s="10">
        <f t="shared" si="6"/>
        <v>1</v>
      </c>
      <c r="G267" s="11" t="str">
        <v>Youth Program Event</v>
      </c>
      <c r="H267" s="11">
        <v>0</v>
      </c>
      <c r="I267" s="11"/>
      <c r="J267" s="11"/>
      <c r="K267" s="11"/>
      <c r="L267" s="11"/>
      <c r="M267" s="11"/>
      <c r="N267" s="11"/>
      <c r="O267" s="11"/>
      <c r="P267" s="11"/>
      <c r="Q267" s="11"/>
      <c r="R267" s="11"/>
      <c r="S267" s="11"/>
      <c r="T267" s="11"/>
    </row>
    <row r="268" spans="1:20" s="6" customFormat="1" ht="18" customHeight="1" x14ac:dyDescent="0.2">
      <c r="A268" s="7">
        <v>263</v>
      </c>
      <c r="B268" s="8" t="str">
        <v>Branch Executive Committee</v>
      </c>
      <c r="C268" s="64" t="str">
        <v/>
      </c>
      <c r="D268" s="9">
        <v>46321</v>
      </c>
      <c r="E268" s="9">
        <v>46321</v>
      </c>
      <c r="F268" s="10">
        <f t="shared" si="6"/>
        <v>1</v>
      </c>
      <c r="G268" s="11" t="str">
        <v>Branch Calendar Event</v>
      </c>
      <c r="H268" s="11">
        <v>0</v>
      </c>
      <c r="I268" s="11"/>
      <c r="J268" s="11"/>
      <c r="K268" s="11"/>
      <c r="L268" s="11"/>
      <c r="M268" s="11"/>
      <c r="N268" s="11"/>
      <c r="O268" s="11"/>
      <c r="P268" s="11"/>
      <c r="Q268" s="11"/>
      <c r="R268" s="11"/>
      <c r="S268" s="11"/>
      <c r="T268" s="11"/>
    </row>
    <row r="269" spans="1:20" s="6" customFormat="1" ht="18" customHeight="1" x14ac:dyDescent="0.2">
      <c r="A269" s="7">
        <v>264</v>
      </c>
      <c r="B269" s="8" t="str">
        <v>Guiding Adventure Course</v>
      </c>
      <c r="C269" s="64" t="str">
        <v/>
      </c>
      <c r="D269" s="9">
        <v>46324</v>
      </c>
      <c r="E269" s="9">
        <v>46326</v>
      </c>
      <c r="F269" s="10">
        <f t="shared" si="6"/>
        <v>1</v>
      </c>
      <c r="G269" s="11" t="str">
        <v>Branch Calendar Event</v>
      </c>
      <c r="H269" s="11" t="str">
        <v>Training - AA</v>
      </c>
      <c r="I269" s="11"/>
      <c r="J269" s="11"/>
      <c r="K269" s="11"/>
      <c r="L269" s="11"/>
      <c r="M269" s="11"/>
      <c r="N269" s="11"/>
      <c r="O269" s="11"/>
      <c r="P269" s="11"/>
      <c r="Q269" s="11"/>
      <c r="R269" s="11"/>
      <c r="S269" s="11"/>
      <c r="T269" s="11"/>
    </row>
    <row r="270" spans="1:20" s="6" customFormat="1" ht="18" customHeight="1" x14ac:dyDescent="0.2">
      <c r="A270" s="7">
        <v>265</v>
      </c>
      <c r="B270" s="8" t="str">
        <v>Scouting Leadership (FNQ)</v>
      </c>
      <c r="C270" s="64" t="str">
        <v/>
      </c>
      <c r="D270" s="9">
        <v>46324</v>
      </c>
      <c r="E270" s="9">
        <v>46326</v>
      </c>
      <c r="F270" s="10">
        <f t="shared" si="6"/>
        <v>1</v>
      </c>
      <c r="G270" s="11" t="str">
        <v>Youth Program Event</v>
      </c>
      <c r="H270" s="11" t="str">
        <v>Training - AA</v>
      </c>
      <c r="I270" s="11"/>
      <c r="J270" s="11"/>
      <c r="K270" s="11"/>
      <c r="L270" s="11"/>
      <c r="M270" s="11"/>
      <c r="N270" s="11"/>
      <c r="O270" s="11"/>
      <c r="P270" s="11"/>
      <c r="Q270" s="11"/>
      <c r="R270" s="11"/>
      <c r="S270" s="11"/>
      <c r="T270" s="11"/>
    </row>
    <row r="271" spans="1:20" s="6" customFormat="1" ht="18" customHeight="1" x14ac:dyDescent="0.2">
      <c r="A271" s="7">
        <v>266</v>
      </c>
      <c r="B271" s="8" t="str">
        <v>National News article about new program resources site (Achievement Pathways Improvements (2026))</v>
      </c>
      <c r="C271" s="64" t="str">
        <v>Achievement Pathways Improvements (2026)</v>
      </c>
      <c r="D271" s="9">
        <v>46324</v>
      </c>
      <c r="E271" s="9">
        <v>46324</v>
      </c>
      <c r="F271" s="10">
        <f t="shared" si="6"/>
        <v>1</v>
      </c>
      <c r="G271" s="11" t="str">
        <v>Comms</v>
      </c>
      <c r="H271" s="11">
        <v>0</v>
      </c>
      <c r="I271" s="11"/>
      <c r="J271" s="11"/>
      <c r="K271" s="11"/>
      <c r="L271" s="11"/>
      <c r="M271" s="11"/>
      <c r="N271" s="11"/>
      <c r="O271" s="11"/>
      <c r="P271" s="11"/>
      <c r="Q271" s="11"/>
      <c r="R271" s="11"/>
      <c r="S271" s="11"/>
      <c r="T271" s="11"/>
    </row>
    <row r="272" spans="1:20" s="6" customFormat="1" ht="18" customHeight="1" x14ac:dyDescent="0.2">
      <c r="A272" s="7">
        <v>267</v>
      </c>
      <c r="B272" s="8" t="str">
        <v>Snorkelling - SP/Guide (Sunshine Coast)</v>
      </c>
      <c r="C272" s="64" t="str">
        <v/>
      </c>
      <c r="D272" s="9">
        <v>46325</v>
      </c>
      <c r="E272" s="9">
        <v>46326</v>
      </c>
      <c r="F272" s="10">
        <f t="shared" si="6"/>
        <v>1</v>
      </c>
      <c r="G272" s="11" t="str">
        <v>Branch Calendar Event</v>
      </c>
      <c r="H272" s="11" t="str">
        <v>Training - AA</v>
      </c>
      <c r="I272" s="11"/>
      <c r="J272" s="11"/>
      <c r="K272" s="11"/>
      <c r="L272" s="11"/>
      <c r="M272" s="11"/>
      <c r="N272" s="11"/>
      <c r="O272" s="11"/>
      <c r="P272" s="11"/>
      <c r="Q272" s="11"/>
      <c r="R272" s="11"/>
      <c r="S272" s="11"/>
      <c r="T272" s="11"/>
    </row>
    <row r="273" spans="1:20" s="6" customFormat="1" ht="18" customHeight="1" x14ac:dyDescent="0.2">
      <c r="A273" s="7">
        <v>268</v>
      </c>
      <c r="B273" s="8" t="str">
        <v>Scouting Management - Group Leaders (Online)</v>
      </c>
      <c r="C273" s="64" t="str">
        <v/>
      </c>
      <c r="D273" s="9">
        <v>46328</v>
      </c>
      <c r="E273" s="9">
        <v>46328</v>
      </c>
      <c r="F273" s="10">
        <f t="shared" si="6"/>
        <v>1</v>
      </c>
      <c r="G273" s="11" t="str">
        <v>Branch Calendar Event</v>
      </c>
      <c r="H273" s="11" t="str">
        <v>Training - AA</v>
      </c>
      <c r="I273" s="11"/>
      <c r="J273" s="11"/>
      <c r="K273" s="11"/>
      <c r="L273" s="11"/>
      <c r="M273" s="11"/>
      <c r="N273" s="11"/>
      <c r="O273" s="11"/>
      <c r="P273" s="11"/>
      <c r="Q273" s="11"/>
      <c r="R273" s="11"/>
      <c r="S273" s="11"/>
      <c r="T273" s="11"/>
    </row>
    <row r="274" spans="1:20" s="6" customFormat="1" ht="18" customHeight="1" x14ac:dyDescent="0.2">
      <c r="A274" s="7">
        <v>269</v>
      </c>
      <c r="B274" s="8" t="str">
        <v>Scouting Leadership (Online)</v>
      </c>
      <c r="C274" s="64" t="str">
        <v/>
      </c>
      <c r="D274" s="9">
        <v>46329</v>
      </c>
      <c r="E274" s="9">
        <v>46329</v>
      </c>
      <c r="F274" s="10">
        <f t="shared" si="6"/>
        <v>1</v>
      </c>
      <c r="G274" s="11" t="str">
        <v>Branch Calendar Event</v>
      </c>
      <c r="H274" s="11" t="str">
        <v>Training - AA</v>
      </c>
      <c r="I274" s="11"/>
      <c r="J274" s="11"/>
      <c r="K274" s="11"/>
      <c r="L274" s="11"/>
      <c r="M274" s="11"/>
      <c r="N274" s="11"/>
      <c r="O274" s="11"/>
      <c r="P274" s="11"/>
      <c r="Q274" s="11"/>
      <c r="R274" s="11"/>
      <c r="S274" s="11"/>
      <c r="T274" s="11"/>
    </row>
    <row r="275" spans="1:20" s="6" customFormat="1" ht="18" customHeight="1" x14ac:dyDescent="0.2">
      <c r="A275" s="7">
        <v>270</v>
      </c>
      <c r="B275" s="8" t="str">
        <v>Region Commissioners Conference</v>
      </c>
      <c r="C275" s="64" t="str">
        <v/>
      </c>
      <c r="D275" s="9">
        <v>46332</v>
      </c>
      <c r="E275" s="9">
        <v>46332</v>
      </c>
      <c r="F275" s="10">
        <f t="shared" si="6"/>
        <v>1</v>
      </c>
      <c r="G275" s="11" t="str">
        <v>Youth Program Event</v>
      </c>
      <c r="H275" s="11">
        <v>0</v>
      </c>
      <c r="I275" s="11"/>
      <c r="J275" s="11"/>
      <c r="K275" s="11"/>
      <c r="L275" s="11"/>
      <c r="M275" s="11"/>
      <c r="N275" s="11"/>
      <c r="O275" s="11"/>
      <c r="P275" s="11"/>
      <c r="Q275" s="11"/>
      <c r="R275" s="11"/>
      <c r="S275" s="11"/>
      <c r="T275" s="11"/>
    </row>
    <row r="276" spans="1:20" s="6" customFormat="1" ht="18" customHeight="1" x14ac:dyDescent="0.2">
      <c r="A276" s="7">
        <v>271</v>
      </c>
      <c r="B276" s="8" t="str">
        <v>Basic Water Rescue (Wide Bay)</v>
      </c>
      <c r="C276" s="64" t="str">
        <v/>
      </c>
      <c r="D276" s="9">
        <v>46333</v>
      </c>
      <c r="E276" s="9">
        <v>46333</v>
      </c>
      <c r="F276" s="10">
        <f t="shared" si="6"/>
        <v>1</v>
      </c>
      <c r="G276" s="11" t="str">
        <v>Branch Calendar Event</v>
      </c>
      <c r="H276" s="11" t="str">
        <v>Training - AA</v>
      </c>
      <c r="I276" s="11"/>
      <c r="J276" s="11"/>
      <c r="K276" s="11"/>
      <c r="L276" s="11"/>
      <c r="M276" s="11"/>
      <c r="N276" s="11"/>
      <c r="O276" s="11"/>
      <c r="P276" s="11"/>
      <c r="Q276" s="11"/>
      <c r="R276" s="11"/>
      <c r="S276" s="11"/>
      <c r="T276" s="11"/>
    </row>
    <row r="277" spans="1:20" s="6" customFormat="1" ht="18" customHeight="1" x14ac:dyDescent="0.2">
      <c r="A277" s="7">
        <v>272</v>
      </c>
      <c r="B277" s="8" t="str">
        <v>Remembrance Day</v>
      </c>
      <c r="C277" s="64" t="str">
        <v/>
      </c>
      <c r="D277" s="9">
        <v>46336</v>
      </c>
      <c r="E277" s="9">
        <v>46336</v>
      </c>
      <c r="F277" s="10">
        <f t="shared" si="6"/>
        <v>1</v>
      </c>
      <c r="G277" s="11" t="str">
        <v>Youth Program Event</v>
      </c>
      <c r="H277" s="11">
        <v>0</v>
      </c>
      <c r="I277" s="11"/>
      <c r="J277" s="11"/>
      <c r="K277" s="11"/>
      <c r="L277" s="11"/>
      <c r="M277" s="11"/>
      <c r="N277" s="11"/>
      <c r="O277" s="11"/>
      <c r="P277" s="11"/>
      <c r="Q277" s="11"/>
      <c r="R277" s="11"/>
      <c r="S277" s="11"/>
      <c r="T277" s="11"/>
    </row>
    <row r="278" spans="1:20" s="6" customFormat="1" ht="18" customHeight="1" x14ac:dyDescent="0.2">
      <c r="A278" s="7">
        <v>273</v>
      </c>
      <c r="B278" s="8" t="str">
        <v>Scouting Leadership (Bundaberg)</v>
      </c>
      <c r="C278" s="64" t="str">
        <v/>
      </c>
      <c r="D278" s="9">
        <v>46338</v>
      </c>
      <c r="E278" s="9">
        <v>46340</v>
      </c>
      <c r="F278" s="10">
        <f t="shared" si="6"/>
        <v>1</v>
      </c>
      <c r="G278" s="11" t="str">
        <v>Branch Calendar Event</v>
      </c>
      <c r="H278" s="11" t="str">
        <v>Training - AA</v>
      </c>
      <c r="I278" s="11"/>
      <c r="J278" s="11"/>
      <c r="K278" s="11"/>
      <c r="L278" s="11"/>
      <c r="M278" s="11"/>
      <c r="N278" s="11"/>
      <c r="O278" s="11"/>
      <c r="P278" s="11"/>
      <c r="Q278" s="11"/>
      <c r="R278" s="11"/>
      <c r="S278" s="11"/>
      <c r="T278" s="11"/>
    </row>
    <row r="279" spans="1:20" s="6" customFormat="1" ht="18" customHeight="1" x14ac:dyDescent="0.2">
      <c r="A279" s="7">
        <v>274</v>
      </c>
      <c r="B279" s="8" t="str">
        <v>Region Activity Weekend (RAW)</v>
      </c>
      <c r="C279" s="64" t="str">
        <v/>
      </c>
      <c r="D279" s="9">
        <v>46338</v>
      </c>
      <c r="E279" s="9">
        <v>46340</v>
      </c>
      <c r="F279" s="10">
        <f t="shared" si="6"/>
        <v>1</v>
      </c>
      <c r="G279" s="11" t="str">
        <v>Youth Program Event</v>
      </c>
      <c r="H279" s="11">
        <v>0</v>
      </c>
      <c r="I279" s="11"/>
      <c r="J279" s="11"/>
      <c r="K279" s="11"/>
      <c r="L279" s="11"/>
      <c r="M279" s="11"/>
      <c r="N279" s="11"/>
      <c r="O279" s="11"/>
      <c r="P279" s="11"/>
      <c r="Q279" s="11"/>
      <c r="R279" s="11"/>
      <c r="S279" s="11"/>
      <c r="T279" s="11"/>
    </row>
    <row r="280" spans="1:20" s="6" customFormat="1" ht="18" customHeight="1" x14ac:dyDescent="0.2">
      <c r="A280" s="7">
        <v>275</v>
      </c>
      <c r="B280" s="8" t="str">
        <v>Scouting Adventure (Brisbane)</v>
      </c>
      <c r="C280" s="64" t="str">
        <v/>
      </c>
      <c r="D280" s="9">
        <v>46338</v>
      </c>
      <c r="E280" s="9">
        <v>46340</v>
      </c>
      <c r="F280" s="10">
        <f t="shared" si="6"/>
        <v>1</v>
      </c>
      <c r="G280" s="11" t="str">
        <v>Branch Calendar Event</v>
      </c>
      <c r="H280" s="11" t="str">
        <v>Training - AA</v>
      </c>
      <c r="I280" s="11"/>
      <c r="J280" s="11"/>
      <c r="K280" s="11"/>
      <c r="L280" s="11"/>
      <c r="M280" s="11"/>
      <c r="N280" s="11"/>
      <c r="O280" s="11"/>
      <c r="P280" s="11"/>
      <c r="Q280" s="11"/>
      <c r="R280" s="11"/>
      <c r="S280" s="11"/>
      <c r="T280" s="11"/>
    </row>
    <row r="281" spans="1:20" s="6" customFormat="1" ht="18" customHeight="1" x14ac:dyDescent="0.2">
      <c r="A281" s="7">
        <v>276</v>
      </c>
      <c r="B281" s="8" t="str">
        <v>Scouting Leadership (Brisbane)</v>
      </c>
      <c r="C281" s="64" t="str">
        <v/>
      </c>
      <c r="D281" s="9">
        <v>46338</v>
      </c>
      <c r="E281" s="9">
        <v>46340</v>
      </c>
      <c r="F281" s="10">
        <f t="shared" si="6"/>
        <v>1</v>
      </c>
      <c r="G281" s="11" t="str">
        <v>Branch Calendar Event</v>
      </c>
      <c r="H281" s="11" t="str">
        <v>Training - AA</v>
      </c>
      <c r="I281" s="11"/>
      <c r="J281" s="11"/>
      <c r="K281" s="11"/>
      <c r="L281" s="11"/>
      <c r="M281" s="11"/>
      <c r="N281" s="11"/>
      <c r="O281" s="11"/>
      <c r="P281" s="11"/>
      <c r="Q281" s="11"/>
      <c r="R281" s="11"/>
      <c r="S281" s="11"/>
      <c r="T281" s="11"/>
    </row>
    <row r="282" spans="1:20" s="6" customFormat="1" ht="18" customHeight="1" x14ac:dyDescent="0.2">
      <c r="A282" s="7">
        <v>277</v>
      </c>
      <c r="B282" s="8" t="str">
        <v>Basic Water Rescue (FNQ)</v>
      </c>
      <c r="C282" s="64" t="str">
        <v/>
      </c>
      <c r="D282" s="9">
        <v>46339</v>
      </c>
      <c r="E282" s="9">
        <v>46339</v>
      </c>
      <c r="F282" s="10">
        <f t="shared" si="6"/>
        <v>1</v>
      </c>
      <c r="G282" s="11" t="str">
        <v>Branch Calendar Event</v>
      </c>
      <c r="H282" s="11" t="str">
        <v>Training - AA</v>
      </c>
      <c r="I282" s="11"/>
      <c r="J282" s="11"/>
      <c r="K282" s="11"/>
      <c r="L282" s="11"/>
      <c r="M282" s="11"/>
      <c r="N282" s="11"/>
      <c r="O282" s="11"/>
      <c r="P282" s="11"/>
      <c r="Q282" s="11"/>
      <c r="R282" s="11"/>
      <c r="S282" s="11"/>
      <c r="T282" s="11"/>
    </row>
    <row r="283" spans="1:20" s="6" customFormat="1" ht="18" customHeight="1" x14ac:dyDescent="0.2">
      <c r="A283" s="7">
        <v>278</v>
      </c>
      <c r="B283" s="8" t="str">
        <v>Queensland Branch Rover Council Meeting</v>
      </c>
      <c r="C283" s="64" t="str">
        <v/>
      </c>
      <c r="D283" s="9">
        <v>46340</v>
      </c>
      <c r="E283" s="9">
        <v>46340</v>
      </c>
      <c r="F283" s="10">
        <f t="shared" si="6"/>
        <v>1</v>
      </c>
      <c r="G283" s="11" t="str">
        <v>Youth Program Event</v>
      </c>
      <c r="H283" s="11" t="str">
        <v>Rover Scouts</v>
      </c>
      <c r="I283" s="11"/>
      <c r="J283" s="11"/>
      <c r="K283" s="11"/>
      <c r="L283" s="11"/>
      <c r="M283" s="11"/>
      <c r="N283" s="11"/>
      <c r="O283" s="11"/>
      <c r="P283" s="11"/>
      <c r="Q283" s="11"/>
      <c r="R283" s="11"/>
      <c r="S283" s="11"/>
      <c r="T283" s="11"/>
    </row>
    <row r="284" spans="1:20" s="6" customFormat="1" ht="18" customHeight="1" x14ac:dyDescent="0.2">
      <c r="A284" s="7">
        <v>279</v>
      </c>
      <c r="B284" s="8" t="str">
        <v>Branch Finance Committee</v>
      </c>
      <c r="C284" s="64" t="str">
        <v/>
      </c>
      <c r="D284" s="9">
        <v>46341</v>
      </c>
      <c r="E284" s="9">
        <v>46341</v>
      </c>
      <c r="F284" s="10">
        <f t="shared" si="6"/>
        <v>1</v>
      </c>
      <c r="G284" s="11" t="str">
        <v>Branch Calendar Event</v>
      </c>
      <c r="H284" s="11">
        <v>0</v>
      </c>
      <c r="I284" s="11"/>
      <c r="J284" s="11"/>
      <c r="K284" s="11"/>
      <c r="L284" s="11"/>
      <c r="M284" s="11"/>
      <c r="N284" s="11"/>
      <c r="O284" s="11"/>
      <c r="P284" s="11"/>
      <c r="Q284" s="11"/>
      <c r="R284" s="11"/>
      <c r="S284" s="11"/>
      <c r="T284" s="11"/>
    </row>
    <row r="285" spans="1:20" s="6" customFormat="1" ht="18" customHeight="1" x14ac:dyDescent="0.2">
      <c r="A285" s="7">
        <v>280</v>
      </c>
      <c r="B285" s="8" t="str">
        <v>Branch Scout Section Council</v>
      </c>
      <c r="C285" s="64" t="str">
        <v/>
      </c>
      <c r="D285" s="9">
        <v>46341</v>
      </c>
      <c r="E285" s="9">
        <v>46341</v>
      </c>
      <c r="F285" s="10">
        <f t="shared" si="6"/>
        <v>1</v>
      </c>
      <c r="G285" s="11" t="str">
        <v>Youth Program Event</v>
      </c>
      <c r="H285" s="11">
        <v>0</v>
      </c>
      <c r="I285" s="11"/>
      <c r="J285" s="11"/>
      <c r="K285" s="11"/>
      <c r="L285" s="11"/>
      <c r="M285" s="11"/>
      <c r="N285" s="11"/>
      <c r="O285" s="11"/>
      <c r="P285" s="11"/>
      <c r="Q285" s="11"/>
      <c r="R285" s="11"/>
      <c r="S285" s="11"/>
      <c r="T285" s="11"/>
    </row>
    <row r="286" spans="1:20" s="6" customFormat="1" ht="18" customHeight="1" x14ac:dyDescent="0.2">
      <c r="A286" s="7">
        <v>281</v>
      </c>
      <c r="B286" s="8" t="str">
        <v>Branch Youth Venturer Scout Council</v>
      </c>
      <c r="C286" s="64" t="str">
        <v/>
      </c>
      <c r="D286" s="9">
        <v>46343</v>
      </c>
      <c r="E286" s="9">
        <v>46343</v>
      </c>
      <c r="F286" s="10">
        <f t="shared" si="6"/>
        <v>1</v>
      </c>
      <c r="G286" s="11" t="str">
        <v>Youth Program Event</v>
      </c>
      <c r="H286" s="11">
        <v>0</v>
      </c>
      <c r="I286" s="11"/>
      <c r="J286" s="11"/>
      <c r="K286" s="11"/>
      <c r="L286" s="11"/>
      <c r="M286" s="11"/>
      <c r="N286" s="11"/>
      <c r="O286" s="11"/>
      <c r="P286" s="11"/>
      <c r="Q286" s="11"/>
      <c r="R286" s="11"/>
      <c r="S286" s="11"/>
      <c r="T286" s="11"/>
    </row>
    <row r="287" spans="1:20" s="6" customFormat="1" ht="18" customHeight="1" x14ac:dyDescent="0.2">
      <c r="A287" s="7">
        <v>282</v>
      </c>
      <c r="B287" s="8" t="str">
        <v>Branch Joey Scout Council</v>
      </c>
      <c r="C287" s="64" t="str">
        <v/>
      </c>
      <c r="D287" s="9">
        <v>46343</v>
      </c>
      <c r="E287" s="9">
        <v>46343</v>
      </c>
      <c r="F287" s="10">
        <f t="shared" si="6"/>
        <v>1</v>
      </c>
      <c r="G287" s="11" t="str">
        <v>Youth Program Event</v>
      </c>
      <c r="H287" s="11" t="str">
        <v>Joey Scouts</v>
      </c>
      <c r="I287" s="11"/>
      <c r="J287" s="11"/>
      <c r="K287" s="11"/>
      <c r="L287" s="11"/>
      <c r="M287" s="11"/>
      <c r="N287" s="11"/>
      <c r="O287" s="11"/>
      <c r="P287" s="11"/>
      <c r="Q287" s="11"/>
      <c r="R287" s="11"/>
      <c r="S287" s="11"/>
      <c r="T287" s="11"/>
    </row>
    <row r="288" spans="1:20" s="6" customFormat="1" ht="18" customHeight="1" x14ac:dyDescent="0.2">
      <c r="A288" s="7">
        <v>283</v>
      </c>
      <c r="B288" s="8" t="str">
        <v>Branch Cub Scout Section Team Meeting</v>
      </c>
      <c r="C288" s="64" t="str">
        <v/>
      </c>
      <c r="D288" s="9">
        <v>46344</v>
      </c>
      <c r="E288" s="9">
        <v>46344</v>
      </c>
      <c r="F288" s="10">
        <f t="shared" si="6"/>
        <v>1</v>
      </c>
      <c r="G288" s="11" t="str">
        <v>Youth Program Event</v>
      </c>
      <c r="H288" s="11">
        <v>0</v>
      </c>
      <c r="I288" s="11"/>
      <c r="J288" s="11"/>
      <c r="K288" s="11"/>
      <c r="L288" s="11"/>
      <c r="M288" s="11"/>
      <c r="N288" s="11"/>
      <c r="O288" s="11"/>
      <c r="P288" s="11"/>
      <c r="Q288" s="11"/>
      <c r="R288" s="11"/>
      <c r="S288" s="11"/>
      <c r="T288" s="11"/>
    </row>
    <row r="289" spans="1:20" s="6" customFormat="1" ht="18" customHeight="1" x14ac:dyDescent="0.2">
      <c r="A289" s="7">
        <v>284</v>
      </c>
      <c r="B289" s="8" t="str">
        <v>Scouting Adventure (Brisbane)</v>
      </c>
      <c r="C289" s="64" t="str">
        <v/>
      </c>
      <c r="D289" s="9">
        <v>46345</v>
      </c>
      <c r="E289" s="9">
        <v>46347</v>
      </c>
      <c r="F289" s="10">
        <f t="shared" si="6"/>
        <v>1</v>
      </c>
      <c r="G289" s="11" t="str">
        <v>Branch Calendar Event</v>
      </c>
      <c r="H289" s="11" t="str">
        <v>Training - AA</v>
      </c>
      <c r="I289" s="11"/>
      <c r="J289" s="11"/>
      <c r="K289" s="11"/>
      <c r="L289" s="11"/>
      <c r="M289" s="11"/>
      <c r="N289" s="11"/>
      <c r="O289" s="11"/>
      <c r="P289" s="11"/>
      <c r="Q289" s="11"/>
      <c r="R289" s="11"/>
      <c r="S289" s="11"/>
      <c r="T289" s="11"/>
    </row>
    <row r="290" spans="1:20" s="6" customFormat="1" ht="18" customHeight="1" x14ac:dyDescent="0.2">
      <c r="A290" s="7">
        <v>285</v>
      </c>
      <c r="B290" s="8" t="str">
        <v>Scouting Management - Group Leaders (Brisbane)</v>
      </c>
      <c r="C290" s="64" t="str">
        <v/>
      </c>
      <c r="D290" s="9">
        <v>46345</v>
      </c>
      <c r="E290" s="9">
        <v>46347</v>
      </c>
      <c r="F290" s="10">
        <f t="shared" si="6"/>
        <v>1</v>
      </c>
      <c r="G290" s="11" t="str">
        <v>Branch Calendar Event</v>
      </c>
      <c r="H290" s="11" t="str">
        <v>Training - AA</v>
      </c>
      <c r="I290" s="11"/>
      <c r="J290" s="11"/>
      <c r="K290" s="11"/>
      <c r="L290" s="11"/>
      <c r="M290" s="11"/>
      <c r="N290" s="11"/>
      <c r="O290" s="11"/>
      <c r="P290" s="11"/>
      <c r="Q290" s="11"/>
      <c r="R290" s="11"/>
      <c r="S290" s="11"/>
      <c r="T290" s="11"/>
    </row>
    <row r="291" spans="1:20" s="6" customFormat="1" ht="18" customHeight="1" x14ac:dyDescent="0.2">
      <c r="A291" s="7">
        <v>286</v>
      </c>
      <c r="B291" s="8" t="str">
        <v>Scouting Adventure (FNQ)</v>
      </c>
      <c r="C291" s="64" t="str">
        <v/>
      </c>
      <c r="D291" s="9">
        <v>46345</v>
      </c>
      <c r="E291" s="9">
        <v>46347</v>
      </c>
      <c r="F291" s="10">
        <f t="shared" si="6"/>
        <v>1</v>
      </c>
      <c r="G291" s="11" t="str">
        <v>Branch Calendar Event</v>
      </c>
      <c r="H291" s="11" t="str">
        <v>Training - AA</v>
      </c>
      <c r="I291" s="11"/>
      <c r="J291" s="11"/>
      <c r="K291" s="11"/>
      <c r="L291" s="11"/>
      <c r="M291" s="11"/>
      <c r="N291" s="11"/>
      <c r="O291" s="11"/>
      <c r="P291" s="11"/>
      <c r="Q291" s="11"/>
      <c r="R291" s="11"/>
      <c r="S291" s="11"/>
      <c r="T291" s="11"/>
    </row>
    <row r="292" spans="1:20" s="6" customFormat="1" ht="18" customHeight="1" x14ac:dyDescent="0.2">
      <c r="A292" s="7">
        <v>287</v>
      </c>
      <c r="B292" s="8" t="str">
        <v>Scouting Essentials (Brisbane)</v>
      </c>
      <c r="C292" s="64" t="str">
        <v/>
      </c>
      <c r="D292" s="9">
        <v>46345</v>
      </c>
      <c r="E292" s="9">
        <v>46347</v>
      </c>
      <c r="F292" s="10">
        <f t="shared" si="6"/>
        <v>1</v>
      </c>
      <c r="G292" s="11" t="str">
        <v>Branch Calendar Event</v>
      </c>
      <c r="H292" s="11" t="str">
        <v>Training - AA</v>
      </c>
      <c r="I292" s="11"/>
      <c r="J292" s="11"/>
      <c r="K292" s="11"/>
      <c r="L292" s="11"/>
      <c r="M292" s="11"/>
      <c r="N292" s="11"/>
      <c r="O292" s="11"/>
      <c r="P292" s="11"/>
      <c r="Q292" s="11"/>
      <c r="R292" s="11"/>
      <c r="S292" s="11"/>
      <c r="T292" s="11"/>
    </row>
    <row r="293" spans="1:20" s="6" customFormat="1" ht="18" customHeight="1" x14ac:dyDescent="0.2">
      <c r="A293" s="7">
        <v>288</v>
      </c>
      <c r="B293" s="8" t="str">
        <v>Vertical - Abseiling Vertical Rescue (FNQ)</v>
      </c>
      <c r="C293" s="64" t="str">
        <v/>
      </c>
      <c r="D293" s="9">
        <v>46346</v>
      </c>
      <c r="E293" s="9">
        <v>46347</v>
      </c>
      <c r="F293" s="10">
        <f t="shared" si="6"/>
        <v>1</v>
      </c>
      <c r="G293" s="11" t="str">
        <v>Branch Calendar Event</v>
      </c>
      <c r="H293" s="11" t="str">
        <v>Training - AA</v>
      </c>
      <c r="I293" s="11"/>
      <c r="J293" s="11"/>
      <c r="K293" s="11"/>
      <c r="L293" s="11"/>
      <c r="M293" s="11"/>
      <c r="N293" s="11"/>
      <c r="O293" s="11"/>
      <c r="P293" s="11"/>
      <c r="Q293" s="11"/>
      <c r="R293" s="11"/>
      <c r="S293" s="11"/>
      <c r="T293" s="11"/>
    </row>
    <row r="294" spans="1:20" s="6" customFormat="1" ht="18" customHeight="1" x14ac:dyDescent="0.2">
      <c r="A294" s="7">
        <v>289</v>
      </c>
      <c r="B294" s="8" t="str">
        <v>Branch Joey Scout Council End of Year</v>
      </c>
      <c r="C294" s="64" t="str">
        <v/>
      </c>
      <c r="D294" s="9">
        <v>46347</v>
      </c>
      <c r="E294" s="9">
        <v>46347</v>
      </c>
      <c r="F294" s="10">
        <f t="shared" si="6"/>
        <v>1</v>
      </c>
      <c r="G294" s="11" t="str">
        <v>Youth Program Event</v>
      </c>
      <c r="H294" s="11">
        <v>0</v>
      </c>
      <c r="I294" s="11"/>
      <c r="J294" s="11"/>
      <c r="K294" s="11"/>
      <c r="L294" s="11"/>
      <c r="M294" s="11"/>
      <c r="N294" s="11"/>
      <c r="O294" s="11"/>
      <c r="P294" s="11"/>
      <c r="Q294" s="11"/>
      <c r="R294" s="11"/>
      <c r="S294" s="11"/>
      <c r="T294" s="11"/>
    </row>
    <row r="295" spans="1:20" s="6" customFormat="1" ht="18" customHeight="1" x14ac:dyDescent="0.2">
      <c r="A295" s="7">
        <v>290</v>
      </c>
      <c r="B295" s="8" t="str">
        <v>Branch Executive Committee</v>
      </c>
      <c r="C295" s="64" t="str">
        <v/>
      </c>
      <c r="D295" s="9">
        <v>46349</v>
      </c>
      <c r="E295" s="9">
        <v>46349</v>
      </c>
      <c r="F295" s="10">
        <f t="shared" si="6"/>
        <v>1</v>
      </c>
      <c r="G295" s="11" t="str">
        <v>Branch Calendar Event</v>
      </c>
      <c r="H295" s="11">
        <v>0</v>
      </c>
      <c r="I295" s="11"/>
      <c r="J295" s="11"/>
      <c r="K295" s="11"/>
      <c r="L295" s="11"/>
      <c r="M295" s="11"/>
      <c r="N295" s="11"/>
      <c r="O295" s="11"/>
      <c r="P295" s="11"/>
      <c r="Q295" s="11"/>
      <c r="R295" s="11"/>
      <c r="S295" s="11"/>
      <c r="T295" s="11"/>
    </row>
    <row r="296" spans="1:20" s="6" customFormat="1" ht="18" customHeight="1" x14ac:dyDescent="0.2">
      <c r="A296" s="7">
        <v>291</v>
      </c>
      <c r="B296" s="8" t="str">
        <v>QARM applications period</v>
      </c>
      <c r="C296" s="64" t="str">
        <v/>
      </c>
      <c r="D296" s="9">
        <v>46357</v>
      </c>
      <c r="E296" s="9">
        <v>46418</v>
      </c>
      <c r="F296" s="10">
        <f t="shared" si="6"/>
        <v>2</v>
      </c>
      <c r="G296" s="11" t="str">
        <v>Prep</v>
      </c>
      <c r="H296" s="11">
        <v>0</v>
      </c>
      <c r="I296" s="11"/>
      <c r="J296" s="11"/>
      <c r="K296" s="11"/>
      <c r="L296" s="11"/>
      <c r="M296" s="11"/>
      <c r="N296" s="11"/>
      <c r="O296" s="11"/>
      <c r="P296" s="11"/>
      <c r="Q296" s="11"/>
      <c r="R296" s="11"/>
      <c r="S296" s="11"/>
      <c r="T296" s="11"/>
    </row>
    <row r="297" spans="1:20" s="6" customFormat="1" ht="18" customHeight="1" x14ac:dyDescent="0.2">
      <c r="A297" s="7">
        <v>292</v>
      </c>
      <c r="B297" s="8" t="str">
        <v>Scouting Leadership (Brisbane)</v>
      </c>
      <c r="C297" s="64" t="str">
        <v/>
      </c>
      <c r="D297" s="9">
        <v>46361</v>
      </c>
      <c r="E297" s="9">
        <v>46361</v>
      </c>
      <c r="F297" s="10">
        <f t="shared" si="6"/>
        <v>1</v>
      </c>
      <c r="G297" s="11" t="str">
        <v>Branch Calendar Event</v>
      </c>
      <c r="H297" s="11" t="str">
        <v>Training - AA</v>
      </c>
      <c r="I297" s="11"/>
      <c r="J297" s="11"/>
      <c r="K297" s="11"/>
      <c r="L297" s="11"/>
      <c r="M297" s="11"/>
      <c r="N297" s="11"/>
      <c r="O297" s="11"/>
      <c r="P297" s="11"/>
      <c r="Q297" s="11"/>
      <c r="R297" s="11"/>
      <c r="S297" s="11"/>
      <c r="T297" s="11"/>
    </row>
    <row r="298" spans="1:20" s="6" customFormat="1" ht="18" customHeight="1" x14ac:dyDescent="0.2">
      <c r="A298" s="7">
        <v>293</v>
      </c>
      <c r="B298" s="8" t="str">
        <v>Scouting Adventure (Brisbane)</v>
      </c>
      <c r="C298" s="64" t="str">
        <v/>
      </c>
      <c r="D298" s="9">
        <v>46361</v>
      </c>
      <c r="E298" s="9">
        <v>46361</v>
      </c>
      <c r="F298" s="10">
        <f t="shared" si="6"/>
        <v>1</v>
      </c>
      <c r="G298" s="11" t="str">
        <v>Branch Calendar Event</v>
      </c>
      <c r="H298" s="11" t="str">
        <v>Training - AA</v>
      </c>
      <c r="I298" s="11"/>
      <c r="J298" s="11"/>
      <c r="K298" s="11"/>
      <c r="L298" s="11"/>
      <c r="M298" s="11"/>
      <c r="N298" s="11"/>
      <c r="O298" s="11"/>
      <c r="P298" s="11"/>
      <c r="Q298" s="11"/>
      <c r="R298" s="11"/>
      <c r="S298" s="11"/>
      <c r="T298" s="11"/>
    </row>
    <row r="299" spans="1:20" s="6" customFormat="1" ht="18" customHeight="1" x14ac:dyDescent="0.2">
      <c r="A299" s="7">
        <v>294</v>
      </c>
      <c r="B299" s="8" t="str">
        <v>Cycling - Off Road - SP/TP (Brisbane)</v>
      </c>
      <c r="C299" s="64" t="str">
        <v/>
      </c>
      <c r="D299" s="9">
        <v>46364</v>
      </c>
      <c r="E299" s="9">
        <v>46364</v>
      </c>
      <c r="F299" s="10">
        <f t="shared" si="6"/>
        <v>1</v>
      </c>
      <c r="G299" s="11" t="str">
        <v>Branch Calendar Event</v>
      </c>
      <c r="H299" s="11">
        <v>0</v>
      </c>
      <c r="I299" s="11"/>
      <c r="J299" s="11"/>
      <c r="K299" s="11"/>
      <c r="L299" s="11"/>
      <c r="M299" s="11"/>
      <c r="N299" s="11"/>
      <c r="O299" s="11"/>
      <c r="P299" s="11"/>
      <c r="Q299" s="11"/>
      <c r="R299" s="11"/>
      <c r="S299" s="11"/>
      <c r="T299" s="11"/>
    </row>
    <row r="300" spans="1:20" s="6" customFormat="1" ht="18" customHeight="1" x14ac:dyDescent="0.2">
      <c r="A300" s="7">
        <v>295</v>
      </c>
      <c r="B300" s="8" t="str">
        <v>Cycling - Off Road - SP/TP (Brisbane)</v>
      </c>
      <c r="C300" s="64" t="str">
        <v/>
      </c>
      <c r="D300" s="9">
        <v>46364</v>
      </c>
      <c r="E300" s="9">
        <v>46364</v>
      </c>
      <c r="F300" s="10">
        <f t="shared" si="6"/>
        <v>1</v>
      </c>
      <c r="G300" s="11" t="str">
        <v>Branch Calendar Event</v>
      </c>
      <c r="H300" s="11" t="str">
        <v>Training - AA</v>
      </c>
      <c r="I300" s="11"/>
      <c r="J300" s="11"/>
      <c r="K300" s="11"/>
      <c r="L300" s="11"/>
      <c r="M300" s="11"/>
      <c r="N300" s="11"/>
      <c r="O300" s="11"/>
      <c r="P300" s="11"/>
      <c r="Q300" s="11"/>
      <c r="R300" s="11"/>
      <c r="S300" s="11"/>
      <c r="T300" s="11"/>
    </row>
    <row r="301" spans="1:20" s="6" customFormat="1" ht="18" customHeight="1" x14ac:dyDescent="0.2">
      <c r="A301" s="7">
        <v>296</v>
      </c>
      <c r="B301" s="8" t="str">
        <v>Branch Executive Committee</v>
      </c>
      <c r="C301" s="64" t="str">
        <v/>
      </c>
      <c r="D301" s="9">
        <v>46367</v>
      </c>
      <c r="E301" s="9">
        <v>46367</v>
      </c>
      <c r="F301" s="10">
        <f t="shared" si="6"/>
        <v>1</v>
      </c>
      <c r="G301" s="11" t="str">
        <v>Branch Calendar Event</v>
      </c>
      <c r="H301" s="11">
        <v>0</v>
      </c>
      <c r="I301" s="11"/>
      <c r="J301" s="11"/>
      <c r="K301" s="11"/>
      <c r="L301" s="11"/>
      <c r="M301" s="11"/>
      <c r="N301" s="11"/>
      <c r="O301" s="11"/>
      <c r="P301" s="11"/>
      <c r="Q301" s="11"/>
      <c r="R301" s="11"/>
      <c r="S301" s="11"/>
      <c r="T301" s="11"/>
    </row>
    <row r="302" spans="1:20" s="6" customFormat="1" ht="18" customHeight="1" x14ac:dyDescent="0.2">
      <c r="A302" s="7">
        <v>297</v>
      </c>
      <c r="B302" s="8" t="str">
        <v>School Holidays (December)</v>
      </c>
      <c r="C302" s="64" t="str">
        <v/>
      </c>
      <c r="D302" s="9">
        <v>46368</v>
      </c>
      <c r="E302" s="9">
        <v>46413</v>
      </c>
      <c r="F302" s="10">
        <f t="shared" si="6"/>
        <v>2</v>
      </c>
      <c r="G302" s="11" t="str">
        <v>Reference</v>
      </c>
      <c r="H302" s="11">
        <v>0</v>
      </c>
      <c r="I302" s="11"/>
      <c r="J302" s="11"/>
      <c r="K302" s="11"/>
      <c r="L302" s="11"/>
      <c r="M302" s="11"/>
      <c r="N302" s="11"/>
      <c r="O302" s="11"/>
      <c r="P302" s="11"/>
      <c r="Q302" s="11"/>
      <c r="R302" s="11"/>
      <c r="S302" s="11"/>
      <c r="T302" s="11"/>
    </row>
    <row r="303" spans="1:20" s="6" customFormat="1" ht="18" customHeight="1" x14ac:dyDescent="0.2">
      <c r="A303" s="7">
        <v>298</v>
      </c>
      <c r="B303" s="8" t="str">
        <v>Queensland Branch Rover Council Meeting</v>
      </c>
      <c r="C303" s="64" t="str">
        <v/>
      </c>
      <c r="D303" s="9">
        <v>46375</v>
      </c>
      <c r="E303" s="9">
        <v>46375</v>
      </c>
      <c r="F303" s="10">
        <f t="shared" si="6"/>
        <v>1</v>
      </c>
      <c r="G303" s="11" t="str">
        <v>Youth Program Event</v>
      </c>
      <c r="H303" s="11" t="str">
        <v>Rover Scouts</v>
      </c>
      <c r="I303" s="11"/>
      <c r="J303" s="11"/>
      <c r="K303" s="11"/>
      <c r="L303" s="11"/>
      <c r="M303" s="11"/>
      <c r="N303" s="11"/>
      <c r="O303" s="11"/>
      <c r="P303" s="11"/>
      <c r="Q303" s="11"/>
      <c r="R303" s="11"/>
      <c r="S303" s="11"/>
      <c r="T303" s="11"/>
    </row>
    <row r="304" spans="1:20" s="6" customFormat="1" ht="18" customHeight="1" x14ac:dyDescent="0.2">
      <c r="A304" s="7">
        <v>299</v>
      </c>
      <c r="B304" s="8" t="str">
        <v>Branch Finance Committee</v>
      </c>
      <c r="C304" s="64" t="str">
        <v/>
      </c>
      <c r="D304" s="9">
        <v>46376</v>
      </c>
      <c r="E304" s="9">
        <v>46376</v>
      </c>
      <c r="F304" s="10">
        <f t="shared" si="6"/>
        <v>1</v>
      </c>
      <c r="G304" s="11" t="str">
        <v>Branch Calendar Event</v>
      </c>
      <c r="H304" s="11">
        <v>0</v>
      </c>
      <c r="I304" s="11"/>
      <c r="J304" s="11"/>
      <c r="K304" s="11"/>
      <c r="L304" s="11"/>
      <c r="M304" s="11"/>
      <c r="N304" s="11"/>
      <c r="O304" s="11"/>
      <c r="P304" s="11"/>
      <c r="Q304" s="11"/>
      <c r="R304" s="11"/>
      <c r="S304" s="11"/>
      <c r="T304" s="11"/>
    </row>
    <row r="305" spans="1:20" s="6" customFormat="1" ht="18" customHeight="1" x14ac:dyDescent="0.2">
      <c r="A305" s="7">
        <v>300</v>
      </c>
      <c r="B305" s="8" t="str">
        <v>Christmas Day</v>
      </c>
      <c r="C305" s="64" t="str">
        <v/>
      </c>
      <c r="D305" s="9">
        <v>46380</v>
      </c>
      <c r="E305" s="9">
        <v>46380</v>
      </c>
      <c r="F305" s="10">
        <f t="shared" si="6"/>
        <v>1</v>
      </c>
      <c r="G305" s="11" t="str">
        <v>Branch Calendar Event</v>
      </c>
      <c r="H305" s="11">
        <v>0</v>
      </c>
      <c r="I305" s="11"/>
      <c r="J305" s="11"/>
      <c r="K305" s="11"/>
      <c r="L305" s="11"/>
      <c r="M305" s="11"/>
      <c r="N305" s="11"/>
      <c r="O305" s="11"/>
      <c r="P305" s="11"/>
      <c r="Q305" s="11"/>
      <c r="R305" s="11"/>
      <c r="S305" s="11"/>
      <c r="T305" s="11"/>
    </row>
    <row r="306" spans="1:20" s="6" customFormat="1" ht="18" customHeight="1" x14ac:dyDescent="0.2">
      <c r="A306" s="7">
        <v>301</v>
      </c>
      <c r="B306" s="8" t="str">
        <v>Boxing Day</v>
      </c>
      <c r="C306" s="64" t="str">
        <v/>
      </c>
      <c r="D306" s="9">
        <v>46381</v>
      </c>
      <c r="E306" s="9">
        <v>46381</v>
      </c>
      <c r="F306" s="10">
        <f t="shared" si="6"/>
        <v>1</v>
      </c>
      <c r="G306" s="11" t="str">
        <v>Branch Calendar Event</v>
      </c>
      <c r="H306" s="11">
        <v>0</v>
      </c>
      <c r="I306" s="11"/>
      <c r="J306" s="11"/>
      <c r="K306" s="11"/>
      <c r="L306" s="11"/>
      <c r="M306" s="11"/>
      <c r="N306" s="11"/>
      <c r="O306" s="11"/>
      <c r="P306" s="11"/>
      <c r="Q306" s="11"/>
      <c r="R306" s="11"/>
      <c r="S306" s="11"/>
      <c r="T306" s="11"/>
    </row>
    <row r="307" spans="1:20" s="6" customFormat="1" ht="18" customHeight="1" x14ac:dyDescent="0.2">
      <c r="A307" s="7">
        <v>302</v>
      </c>
      <c r="B307" s="8" t="str">
        <v>Scouts | Terrain ready (Achievement Pathways Improvements (2026))</v>
      </c>
      <c r="C307" s="64" t="str">
        <v>Achievement Pathways Improvements (2026)</v>
      </c>
      <c r="D307" s="9">
        <v>46387</v>
      </c>
      <c r="E307" s="9">
        <v>46416</v>
      </c>
      <c r="F307" s="10">
        <f t="shared" si="6"/>
        <v>2</v>
      </c>
      <c r="G307" s="11" t="str">
        <v>Event</v>
      </c>
      <c r="H307" s="11">
        <v>0</v>
      </c>
      <c r="I307" s="11"/>
      <c r="J307" s="11"/>
      <c r="K307" s="11"/>
      <c r="L307" s="11"/>
      <c r="M307" s="11"/>
      <c r="N307" s="11"/>
      <c r="O307" s="11"/>
      <c r="P307" s="11"/>
      <c r="Q307" s="11"/>
      <c r="R307" s="11"/>
      <c r="S307" s="11"/>
      <c r="T307" s="11"/>
    </row>
    <row r="308" spans="1:20" s="6" customFormat="1" ht="18" customHeight="1" x14ac:dyDescent="0.2">
      <c r="A308" s="7">
        <v>303</v>
      </c>
      <c r="B308" s="8" t="str">
        <v>Cub Scouts - Personal Development Course</v>
      </c>
      <c r="C308" s="64" t="str">
        <v/>
      </c>
      <c r="D308" s="9">
        <v>46388</v>
      </c>
      <c r="E308" s="9">
        <v>46388</v>
      </c>
      <c r="F308" s="10">
        <f t="shared" si="6"/>
        <v>1</v>
      </c>
      <c r="G308" s="11" t="str">
        <v>Youth Program Event</v>
      </c>
      <c r="H308" s="11">
        <v>0</v>
      </c>
      <c r="I308" s="11"/>
      <c r="J308" s="11"/>
      <c r="K308" s="11"/>
      <c r="L308" s="11"/>
      <c r="M308" s="11"/>
      <c r="N308" s="11"/>
      <c r="O308" s="11"/>
      <c r="P308" s="11"/>
      <c r="Q308" s="11"/>
      <c r="R308" s="11"/>
      <c r="S308" s="11"/>
      <c r="T308" s="11"/>
    </row>
    <row r="309" spans="1:20" s="6" customFormat="1" ht="18" customHeight="1" x14ac:dyDescent="0.2">
      <c r="A309" s="7">
        <v>304</v>
      </c>
      <c r="B309" s="8" t="str">
        <v xml:space="preserve">Scouts - Personal Development </v>
      </c>
      <c r="C309" s="64" t="str">
        <v/>
      </c>
      <c r="D309" s="9">
        <v>46388</v>
      </c>
      <c r="E309" s="9">
        <v>46388</v>
      </c>
      <c r="F309" s="10">
        <f t="shared" si="6"/>
        <v>1</v>
      </c>
      <c r="G309" s="11" t="str">
        <v>Youth Program Event</v>
      </c>
      <c r="H309" s="11">
        <v>0</v>
      </c>
      <c r="I309" s="11"/>
      <c r="J309" s="11"/>
      <c r="K309" s="11"/>
      <c r="L309" s="11"/>
      <c r="M309" s="11"/>
      <c r="N309" s="11"/>
      <c r="O309" s="11"/>
      <c r="P309" s="11"/>
      <c r="Q309" s="11"/>
      <c r="R309" s="11"/>
      <c r="S309" s="11"/>
      <c r="T309" s="11"/>
    </row>
    <row r="310" spans="1:20" s="6" customFormat="1" ht="18" customHeight="1" x14ac:dyDescent="0.2">
      <c r="A310" s="7">
        <v>305</v>
      </c>
      <c r="B310" s="8" t="str">
        <v>QMoot applications period</v>
      </c>
      <c r="C310" s="64" t="str">
        <v/>
      </c>
      <c r="D310" s="9">
        <v>46388</v>
      </c>
      <c r="E310" s="9">
        <v>46446</v>
      </c>
      <c r="F310" s="10">
        <f t="shared" si="6"/>
        <v>2</v>
      </c>
      <c r="G310" s="11" t="str">
        <v>Prep</v>
      </c>
      <c r="H310" s="11">
        <v>0</v>
      </c>
      <c r="I310" s="11"/>
      <c r="J310" s="11"/>
      <c r="K310" s="11"/>
      <c r="L310" s="11"/>
      <c r="M310" s="11"/>
      <c r="N310" s="11"/>
      <c r="O310" s="11"/>
      <c r="P310" s="11"/>
      <c r="Q310" s="11"/>
      <c r="R310" s="11"/>
      <c r="S310" s="11"/>
      <c r="T310" s="11"/>
    </row>
    <row r="311" spans="1:20" s="6" customFormat="1" ht="18" customHeight="1" x14ac:dyDescent="0.2">
      <c r="A311" s="7">
        <v>306</v>
      </c>
      <c r="B311" s="8" t="str">
        <v>SEQ Leadership Course</v>
      </c>
      <c r="C311" s="64" t="str">
        <v/>
      </c>
      <c r="D311" s="9">
        <v>46388</v>
      </c>
      <c r="E311" s="9">
        <v>46388</v>
      </c>
      <c r="F311" s="10">
        <f t="shared" si="6"/>
        <v>1</v>
      </c>
      <c r="G311" s="11" t="str">
        <v>Youth Program Event</v>
      </c>
      <c r="H311" s="11">
        <v>0</v>
      </c>
      <c r="I311" s="11"/>
      <c r="J311" s="11"/>
      <c r="K311" s="11"/>
      <c r="L311" s="11"/>
      <c r="M311" s="11"/>
      <c r="N311" s="11"/>
      <c r="O311" s="11"/>
      <c r="P311" s="11"/>
      <c r="Q311" s="11"/>
      <c r="R311" s="11"/>
      <c r="S311" s="11"/>
      <c r="T311" s="11"/>
    </row>
    <row r="312" spans="1:20" s="6" customFormat="1" ht="18" customHeight="1" x14ac:dyDescent="0.2">
      <c r="A312" s="7">
        <v>307</v>
      </c>
      <c r="B312" s="8" t="str">
        <v>Joey Scouts - Personal Development Course.</v>
      </c>
      <c r="C312" s="64" t="str">
        <v/>
      </c>
      <c r="D312" s="9">
        <v>46388</v>
      </c>
      <c r="E312" s="9">
        <v>46388</v>
      </c>
      <c r="F312" s="10">
        <f t="shared" si="6"/>
        <v>1</v>
      </c>
      <c r="G312" s="11" t="str">
        <v>Youth Program Event</v>
      </c>
      <c r="H312" s="11">
        <v>0</v>
      </c>
      <c r="I312" s="11"/>
      <c r="J312" s="11"/>
      <c r="K312" s="11"/>
      <c r="L312" s="11"/>
      <c r="M312" s="11"/>
      <c r="N312" s="11"/>
      <c r="O312" s="11"/>
      <c r="P312" s="11"/>
      <c r="Q312" s="11"/>
      <c r="R312" s="11"/>
      <c r="S312" s="11"/>
      <c r="T312" s="11"/>
    </row>
    <row r="313" spans="1:20" s="6" customFormat="1" ht="18" customHeight="1" x14ac:dyDescent="0.2">
      <c r="A313" s="7">
        <v>308</v>
      </c>
      <c r="B313" s="8" t="str">
        <v>QARM</v>
      </c>
      <c r="C313" s="64" t="str">
        <v/>
      </c>
      <c r="D313" s="9">
        <v>46419</v>
      </c>
      <c r="E313" s="9">
        <v>46419</v>
      </c>
      <c r="F313" s="10">
        <f t="shared" si="6"/>
        <v>1</v>
      </c>
      <c r="G313" s="11" t="str">
        <v>Youth Program Event</v>
      </c>
      <c r="H313" s="11">
        <v>0</v>
      </c>
      <c r="I313" s="11"/>
      <c r="J313" s="11"/>
      <c r="K313" s="11"/>
      <c r="L313" s="11"/>
      <c r="M313" s="11"/>
      <c r="N313" s="11"/>
      <c r="O313" s="11"/>
      <c r="P313" s="11"/>
      <c r="Q313" s="11"/>
      <c r="R313" s="11"/>
      <c r="S313" s="11"/>
      <c r="T313" s="11"/>
    </row>
    <row r="314" spans="1:20" s="6" customFormat="1" ht="18" customHeight="1" x14ac:dyDescent="0.2">
      <c r="A314" s="7">
        <v>309</v>
      </c>
      <c r="B314" s="8" t="str">
        <v>Founders Day &amp; Swim Night</v>
      </c>
      <c r="C314" s="64" t="str">
        <v/>
      </c>
      <c r="D314" s="9">
        <v>46419</v>
      </c>
      <c r="E314" s="9">
        <v>46419</v>
      </c>
      <c r="F314" s="10">
        <f t="shared" si="6"/>
        <v>1</v>
      </c>
      <c r="G314" s="11" t="str">
        <v>Youth Program Event</v>
      </c>
      <c r="H314" s="11">
        <v>0</v>
      </c>
      <c r="I314" s="11"/>
      <c r="J314" s="11"/>
      <c r="K314" s="11"/>
      <c r="L314" s="11"/>
      <c r="M314" s="11"/>
      <c r="N314" s="11"/>
      <c r="O314" s="11"/>
      <c r="P314" s="11"/>
      <c r="Q314" s="11"/>
      <c r="R314" s="11"/>
      <c r="S314" s="11"/>
      <c r="T314" s="11"/>
    </row>
    <row r="315" spans="1:20" s="6" customFormat="1" ht="18" customHeight="1" x14ac:dyDescent="0.2">
      <c r="A315" s="7">
        <v>310</v>
      </c>
      <c r="B315" s="8" t="str">
        <v>Founders Day camp</v>
      </c>
      <c r="C315" s="64" t="str">
        <v/>
      </c>
      <c r="D315" s="9">
        <v>46419</v>
      </c>
      <c r="E315" s="9">
        <v>46419</v>
      </c>
      <c r="F315" s="10">
        <f t="shared" si="6"/>
        <v>1</v>
      </c>
      <c r="G315" s="11" t="str">
        <v>Youth Program Event</v>
      </c>
      <c r="H315" s="11">
        <v>0</v>
      </c>
      <c r="I315" s="11"/>
      <c r="J315" s="11"/>
      <c r="K315" s="11"/>
      <c r="L315" s="11"/>
      <c r="M315" s="11"/>
      <c r="N315" s="11"/>
      <c r="O315" s="11"/>
      <c r="P315" s="11"/>
      <c r="Q315" s="11"/>
      <c r="R315" s="11"/>
      <c r="S315" s="11"/>
      <c r="T315" s="11"/>
    </row>
    <row r="316" spans="1:20" s="6" customFormat="1" ht="18" customHeight="1" x14ac:dyDescent="0.2">
      <c r="A316" s="7">
        <v>311</v>
      </c>
      <c r="B316" s="8" t="str">
        <v>QBRC Budget approval</v>
      </c>
      <c r="C316" s="64" t="str">
        <v/>
      </c>
      <c r="D316" s="9">
        <v>46419</v>
      </c>
      <c r="E316" s="9">
        <v>46419</v>
      </c>
      <c r="F316" s="10">
        <f t="shared" si="6"/>
        <v>1</v>
      </c>
      <c r="G316" s="11" t="str">
        <v>Prep</v>
      </c>
      <c r="H316" s="11">
        <v>0</v>
      </c>
      <c r="I316" s="11"/>
      <c r="J316" s="11"/>
      <c r="K316" s="11"/>
      <c r="L316" s="11"/>
      <c r="M316" s="11"/>
      <c r="N316" s="11"/>
      <c r="O316" s="11"/>
      <c r="P316" s="11"/>
      <c r="Q316" s="11"/>
      <c r="R316" s="11"/>
      <c r="S316" s="11"/>
      <c r="T316" s="11"/>
    </row>
    <row r="317" spans="1:20" s="6" customFormat="1" ht="18" customHeight="1" x14ac:dyDescent="0.2">
      <c r="A317" s="7">
        <v>312</v>
      </c>
      <c r="B317" s="8" t="str">
        <v>QMoot</v>
      </c>
      <c r="C317" s="64" t="str">
        <v/>
      </c>
      <c r="D317" s="9">
        <v>46447</v>
      </c>
      <c r="E317" s="9">
        <v>46447</v>
      </c>
      <c r="F317" s="10">
        <f t="shared" si="6"/>
        <v>1</v>
      </c>
      <c r="G317" s="11" t="str">
        <v>Youth Program Event</v>
      </c>
      <c r="H317" s="11">
        <v>0</v>
      </c>
      <c r="I317" s="11"/>
      <c r="J317" s="11"/>
      <c r="K317" s="11"/>
      <c r="L317" s="11"/>
      <c r="M317" s="11"/>
      <c r="N317" s="11"/>
      <c r="O317" s="11"/>
      <c r="P317" s="11"/>
      <c r="Q317" s="11"/>
      <c r="R317" s="11"/>
      <c r="S317" s="11"/>
      <c r="T317" s="11"/>
    </row>
    <row r="318" spans="1:20" s="6" customFormat="1" ht="18" customHeight="1" x14ac:dyDescent="0.2">
      <c r="A318" s="7">
        <v>313</v>
      </c>
      <c r="B318" s="8" t="str">
        <v>AA Weekends - Bushwalking, Abseiling, Canoeing (proposed)</v>
      </c>
      <c r="C318" s="64" t="str">
        <v/>
      </c>
      <c r="D318" s="9">
        <v>46447</v>
      </c>
      <c r="E318" s="9">
        <v>46447</v>
      </c>
      <c r="F318" s="10">
        <f t="shared" si="6"/>
        <v>1</v>
      </c>
      <c r="G318" s="11" t="str">
        <v>Youth Program Event</v>
      </c>
      <c r="H318" s="11">
        <v>0</v>
      </c>
      <c r="I318" s="11"/>
      <c r="J318" s="11"/>
      <c r="K318" s="11"/>
      <c r="L318" s="11"/>
      <c r="M318" s="11"/>
      <c r="N318" s="11"/>
      <c r="O318" s="11"/>
      <c r="P318" s="11"/>
      <c r="Q318" s="11"/>
      <c r="R318" s="11"/>
      <c r="S318" s="11"/>
      <c r="T318" s="11"/>
    </row>
    <row r="319" spans="1:20" s="6" customFormat="1" ht="18" customHeight="1" x14ac:dyDescent="0.2">
      <c r="A319" s="7"/>
      <c r="B319" s="8" t="str">
        <v>Butterfly</v>
      </c>
      <c r="C319" s="64" t="str">
        <v/>
      </c>
      <c r="D319" s="9">
        <v>46447</v>
      </c>
      <c r="E319" s="9">
        <v>46447</v>
      </c>
      <c r="F319" s="10">
        <f t="shared" si="6"/>
        <v>1</v>
      </c>
      <c r="G319" s="11" t="str">
        <v>Youth Program Event</v>
      </c>
      <c r="H319" s="11">
        <v>0</v>
      </c>
      <c r="I319" s="11"/>
      <c r="J319" s="11"/>
      <c r="K319" s="11"/>
      <c r="L319" s="11"/>
      <c r="M319" s="11"/>
      <c r="N319" s="11"/>
      <c r="O319" s="11"/>
      <c r="P319" s="11"/>
      <c r="Q319" s="11"/>
      <c r="R319" s="11"/>
      <c r="S319" s="11"/>
      <c r="T319" s="11"/>
    </row>
    <row r="320" spans="1:20" s="6" customFormat="1" ht="18" customHeight="1" x14ac:dyDescent="0.2">
      <c r="A320" s="7"/>
      <c r="B320" s="8" t="str">
        <v>RAW (Region Activity Weekend)</v>
      </c>
      <c r="C320" s="64" t="str">
        <v/>
      </c>
      <c r="D320" s="9">
        <v>46447</v>
      </c>
      <c r="E320" s="9">
        <v>46447</v>
      </c>
      <c r="F320" s="10">
        <f t="shared" si="6"/>
        <v>1</v>
      </c>
      <c r="G320" s="11" t="str">
        <v>Youth Program Event</v>
      </c>
      <c r="H320" s="11">
        <v>0</v>
      </c>
      <c r="I320" s="11"/>
      <c r="J320" s="11"/>
      <c r="K320" s="11"/>
      <c r="L320" s="11"/>
      <c r="M320" s="11"/>
      <c r="N320" s="11"/>
      <c r="O320" s="11"/>
      <c r="P320" s="11"/>
      <c r="Q320" s="11"/>
      <c r="R320" s="11"/>
      <c r="S320" s="11"/>
      <c r="T320" s="11"/>
    </row>
    <row r="321" spans="1:20" s="6" customFormat="1" ht="18" customHeight="1" x14ac:dyDescent="0.2">
      <c r="A321" s="7"/>
      <c r="B321" s="8" t="str">
        <v>QBRC Conference</v>
      </c>
      <c r="C321" s="64" t="str">
        <v/>
      </c>
      <c r="D321" s="9">
        <v>46447</v>
      </c>
      <c r="E321" s="9">
        <v>46447</v>
      </c>
      <c r="F321" s="10">
        <f t="shared" si="6"/>
        <v>1</v>
      </c>
      <c r="G321" s="11" t="str">
        <v>Youth Program Event</v>
      </c>
      <c r="H321" s="11">
        <v>0</v>
      </c>
      <c r="I321" s="11"/>
      <c r="J321" s="11"/>
      <c r="K321" s="11"/>
      <c r="L321" s="11"/>
      <c r="M321" s="11"/>
      <c r="N321" s="11"/>
      <c r="O321" s="11"/>
      <c r="P321" s="11"/>
      <c r="Q321" s="11"/>
      <c r="R321" s="11"/>
      <c r="S321" s="11"/>
      <c r="T321" s="11"/>
    </row>
    <row r="322" spans="1:20" s="6" customFormat="1" ht="18" customHeight="1" x14ac:dyDescent="0.2">
      <c r="A322" s="7"/>
      <c r="B322" s="8" t="str">
        <v>Joey Scout Hopalong</v>
      </c>
      <c r="C322" s="64" t="str">
        <v/>
      </c>
      <c r="D322" s="9">
        <v>46459</v>
      </c>
      <c r="E322" s="9">
        <v>46459</v>
      </c>
      <c r="F322" s="10">
        <f t="shared" si="6"/>
        <v>1</v>
      </c>
      <c r="G322" s="11" t="str">
        <v>Youth Program Event</v>
      </c>
      <c r="H322" s="11">
        <v>0</v>
      </c>
      <c r="I322" s="11"/>
      <c r="J322" s="11"/>
      <c r="K322" s="11"/>
      <c r="L322" s="11"/>
      <c r="M322" s="11"/>
      <c r="N322" s="11"/>
      <c r="O322" s="11"/>
      <c r="P322" s="11"/>
      <c r="Q322" s="11"/>
      <c r="R322" s="11"/>
      <c r="S322" s="11"/>
      <c r="T322" s="11"/>
    </row>
    <row r="323" spans="1:20" s="6" customFormat="1" ht="18" customHeight="1" x14ac:dyDescent="0.2">
      <c r="A323" s="7"/>
      <c r="B323" s="8" t="str">
        <v>Easter 2027</v>
      </c>
      <c r="C323" s="64" t="str">
        <v/>
      </c>
      <c r="D323" s="9">
        <v>46472</v>
      </c>
      <c r="E323" s="9">
        <v>46475</v>
      </c>
      <c r="F323" s="10">
        <f t="shared" si="6"/>
        <v>1</v>
      </c>
      <c r="G323" s="11" t="str">
        <v>Reference</v>
      </c>
      <c r="H323" s="11">
        <v>0</v>
      </c>
      <c r="I323" s="11"/>
      <c r="J323" s="11"/>
      <c r="K323" s="11"/>
      <c r="L323" s="11"/>
      <c r="M323" s="11"/>
      <c r="N323" s="11"/>
      <c r="O323" s="11"/>
      <c r="P323" s="11"/>
      <c r="Q323" s="11"/>
      <c r="R323" s="11"/>
      <c r="S323" s="11"/>
      <c r="T323" s="11"/>
    </row>
    <row r="324" spans="1:20" s="6" customFormat="1" ht="18" customHeight="1" x14ac:dyDescent="0.2">
      <c r="A324" s="7"/>
      <c r="B324" s="8" t="str">
        <v>School Holidays (April)</v>
      </c>
      <c r="C324" s="64" t="str">
        <v/>
      </c>
      <c r="D324" s="9">
        <v>46472</v>
      </c>
      <c r="E324" s="9">
        <v>46488</v>
      </c>
      <c r="F324" s="10">
        <f t="shared" si="6"/>
        <v>2</v>
      </c>
      <c r="G324" s="11" t="str">
        <v>Reference</v>
      </c>
      <c r="H324" s="11">
        <v>0</v>
      </c>
      <c r="I324" s="11"/>
      <c r="J324" s="11"/>
      <c r="K324" s="11"/>
      <c r="L324" s="11"/>
      <c r="M324" s="11"/>
      <c r="N324" s="11"/>
      <c r="O324" s="11"/>
      <c r="P324" s="11"/>
      <c r="Q324" s="11"/>
      <c r="R324" s="11"/>
      <c r="S324" s="11"/>
      <c r="T324" s="11"/>
    </row>
    <row r="325" spans="1:20" s="6" customFormat="1" ht="18" customHeight="1" x14ac:dyDescent="0.2">
      <c r="A325" s="7"/>
      <c r="B325" s="8" t="str">
        <v>Urban Challenge applications period</v>
      </c>
      <c r="C325" s="64" t="str">
        <v/>
      </c>
      <c r="D325" s="9">
        <v>46478</v>
      </c>
      <c r="E325" s="9">
        <v>46507</v>
      </c>
      <c r="F325" s="10">
        <f t="shared" si="6"/>
        <v>1</v>
      </c>
      <c r="G325" s="11" t="str">
        <v>Prep</v>
      </c>
      <c r="H325" s="11">
        <v>0</v>
      </c>
      <c r="I325" s="11"/>
      <c r="J325" s="11"/>
      <c r="K325" s="11"/>
      <c r="L325" s="11"/>
      <c r="M325" s="11"/>
      <c r="N325" s="11"/>
      <c r="O325" s="11"/>
      <c r="P325" s="11"/>
      <c r="Q325" s="11"/>
      <c r="R325" s="11"/>
      <c r="S325" s="11"/>
      <c r="T325" s="11"/>
    </row>
    <row r="326" spans="1:20" s="6" customFormat="1" ht="18" customHeight="1" x14ac:dyDescent="0.2">
      <c r="A326" s="7"/>
      <c r="B326" s="8" t="str">
        <v xml:space="preserve">Venturer Scouts - Operation Archer </v>
      </c>
      <c r="C326" s="64" t="str">
        <v/>
      </c>
      <c r="D326" s="9">
        <v>46478</v>
      </c>
      <c r="E326" s="9">
        <v>46478</v>
      </c>
      <c r="F326" s="10">
        <f t="shared" ref="F326:F379" si="7">IF(OR(ISBLANK(start_date),ISBLANK(end_date)),"",1+ROUND(((EOMONTH(end_date,0)-EOMONTH(start_date,0))/30),0))</f>
        <v>1</v>
      </c>
      <c r="G326" s="11" t="str">
        <v>Youth Program Event</v>
      </c>
      <c r="H326" s="11">
        <v>0</v>
      </c>
      <c r="I326" s="11"/>
      <c r="J326" s="11"/>
      <c r="K326" s="11"/>
      <c r="L326" s="11"/>
      <c r="M326" s="11"/>
      <c r="N326" s="11"/>
      <c r="O326" s="11"/>
      <c r="P326" s="11"/>
      <c r="Q326" s="11"/>
      <c r="R326" s="11"/>
      <c r="S326" s="11"/>
      <c r="T326" s="11"/>
    </row>
    <row r="327" spans="1:20" s="6" customFormat="1" ht="18" customHeight="1" x14ac:dyDescent="0.2">
      <c r="A327" s="7"/>
      <c r="B327" s="8" t="str">
        <v>Kiwi Woggle</v>
      </c>
      <c r="C327" s="64" t="str">
        <v/>
      </c>
      <c r="D327" s="9">
        <v>46478</v>
      </c>
      <c r="E327" s="9">
        <v>46478</v>
      </c>
      <c r="F327" s="10">
        <f t="shared" si="7"/>
        <v>1</v>
      </c>
      <c r="G327" s="11" t="str">
        <v>Youth Program Event</v>
      </c>
      <c r="H327" s="11">
        <v>0</v>
      </c>
      <c r="I327" s="11"/>
      <c r="J327" s="11"/>
      <c r="K327" s="11"/>
      <c r="L327" s="11"/>
      <c r="M327" s="11"/>
      <c r="N327" s="11"/>
      <c r="O327" s="11"/>
      <c r="P327" s="11"/>
      <c r="Q327" s="11"/>
      <c r="R327" s="11"/>
      <c r="S327" s="11"/>
      <c r="T327" s="11"/>
    </row>
    <row r="328" spans="1:20" s="6" customFormat="1" ht="18" customHeight="1" x14ac:dyDescent="0.2">
      <c r="A328" s="7"/>
      <c r="B328" s="8" t="str">
        <v>Test N Track Moot</v>
      </c>
      <c r="C328" s="64" t="str">
        <v/>
      </c>
      <c r="D328" s="9">
        <v>46508</v>
      </c>
      <c r="E328" s="9">
        <v>46508</v>
      </c>
      <c r="F328" s="10">
        <f t="shared" si="7"/>
        <v>1</v>
      </c>
      <c r="G328" s="11" t="str">
        <v>Youth Program Event</v>
      </c>
      <c r="H328" s="11">
        <v>0</v>
      </c>
      <c r="I328" s="11"/>
      <c r="J328" s="11"/>
      <c r="K328" s="11"/>
      <c r="L328" s="11"/>
      <c r="M328" s="11"/>
      <c r="N328" s="11"/>
      <c r="O328" s="11"/>
      <c r="P328" s="11"/>
      <c r="Q328" s="11"/>
      <c r="R328" s="11"/>
      <c r="S328" s="11"/>
      <c r="T328" s="11"/>
    </row>
    <row r="329" spans="1:20" s="6" customFormat="1" ht="18" customHeight="1" x14ac:dyDescent="0.2">
      <c r="A329" s="7"/>
      <c r="B329" s="8" t="str">
        <v>BAANYA</v>
      </c>
      <c r="C329" s="64" t="str">
        <v/>
      </c>
      <c r="D329" s="9">
        <v>46508</v>
      </c>
      <c r="E329" s="9">
        <v>46508</v>
      </c>
      <c r="F329" s="10">
        <f t="shared" si="7"/>
        <v>1</v>
      </c>
      <c r="G329" s="11" t="str">
        <v>Youth Program Event</v>
      </c>
      <c r="H329" s="11">
        <v>0</v>
      </c>
      <c r="I329" s="11"/>
      <c r="J329" s="11"/>
      <c r="K329" s="11"/>
      <c r="L329" s="11"/>
      <c r="M329" s="11"/>
      <c r="N329" s="11"/>
      <c r="O329" s="11"/>
      <c r="P329" s="11"/>
      <c r="Q329" s="11"/>
      <c r="R329" s="11"/>
      <c r="S329" s="11"/>
      <c r="T329" s="11"/>
    </row>
    <row r="330" spans="1:20" s="6" customFormat="1" ht="18" customHeight="1" x14ac:dyDescent="0.2">
      <c r="A330" s="7"/>
      <c r="B330" s="8" t="str">
        <v>Cub Scout leadership course</v>
      </c>
      <c r="C330" s="64" t="str">
        <v/>
      </c>
      <c r="D330" s="9">
        <v>46508</v>
      </c>
      <c r="E330" s="9">
        <v>46508</v>
      </c>
      <c r="F330" s="10">
        <f t="shared" si="7"/>
        <v>1</v>
      </c>
      <c r="G330" s="11" t="str">
        <v>Youth Program Event</v>
      </c>
      <c r="H330" s="11">
        <v>0</v>
      </c>
      <c r="I330" s="11"/>
      <c r="J330" s="11"/>
      <c r="K330" s="11"/>
      <c r="L330" s="11"/>
      <c r="M330" s="11"/>
      <c r="N330" s="11"/>
      <c r="O330" s="11"/>
      <c r="P330" s="11"/>
      <c r="Q330" s="11"/>
      <c r="R330" s="11"/>
      <c r="S330" s="11"/>
      <c r="T330" s="11"/>
    </row>
    <row r="331" spans="1:20" s="6" customFormat="1" ht="18" customHeight="1" x14ac:dyDescent="0.2">
      <c r="A331" s="7"/>
      <c r="B331" s="8" t="str">
        <v>AA Weekends - Bushwalking, Abseiling, Canoeing (proposed)</v>
      </c>
      <c r="C331" s="64" t="str">
        <v/>
      </c>
      <c r="D331" s="9">
        <v>46508</v>
      </c>
      <c r="E331" s="9">
        <v>46508</v>
      </c>
      <c r="F331" s="10">
        <f t="shared" si="7"/>
        <v>1</v>
      </c>
      <c r="G331" s="11" t="str">
        <v>Youth Program Event</v>
      </c>
      <c r="H331" s="11">
        <v>0</v>
      </c>
      <c r="I331" s="11"/>
      <c r="J331" s="11"/>
      <c r="K331" s="11"/>
      <c r="L331" s="11"/>
      <c r="M331" s="11"/>
      <c r="N331" s="11"/>
      <c r="O331" s="11"/>
      <c r="P331" s="11"/>
      <c r="Q331" s="11"/>
      <c r="R331" s="11"/>
      <c r="S331" s="11"/>
      <c r="T331" s="11"/>
    </row>
    <row r="332" spans="1:20" s="6" customFormat="1" ht="18" customHeight="1" x14ac:dyDescent="0.2">
      <c r="A332" s="7"/>
      <c r="B332" s="8" t="str">
        <v xml:space="preserve">Venturer Scout leadership course </v>
      </c>
      <c r="C332" s="64" t="str">
        <v/>
      </c>
      <c r="D332" s="9">
        <v>46508</v>
      </c>
      <c r="E332" s="9">
        <v>46508</v>
      </c>
      <c r="F332" s="10">
        <f t="shared" si="7"/>
        <v>1</v>
      </c>
      <c r="G332" s="11" t="str">
        <v>Youth Program Event</v>
      </c>
      <c r="H332" s="11">
        <v>0</v>
      </c>
      <c r="I332" s="11"/>
      <c r="J332" s="11"/>
      <c r="K332" s="11"/>
      <c r="L332" s="11"/>
      <c r="M332" s="11"/>
      <c r="N332" s="11"/>
      <c r="O332" s="11"/>
      <c r="P332" s="11"/>
      <c r="Q332" s="11"/>
      <c r="R332" s="11"/>
      <c r="S332" s="11"/>
      <c r="T332" s="11"/>
    </row>
    <row r="333" spans="1:20" s="6" customFormat="1" ht="18" customHeight="1" x14ac:dyDescent="0.2">
      <c r="A333" s="7"/>
      <c r="B333" s="8" t="str">
        <v>Urban Challenge</v>
      </c>
      <c r="C333" s="64" t="str">
        <v/>
      </c>
      <c r="D333" s="9">
        <v>46508</v>
      </c>
      <c r="E333" s="9">
        <v>46508</v>
      </c>
      <c r="F333" s="10">
        <f t="shared" si="7"/>
        <v>1</v>
      </c>
      <c r="G333" s="11" t="str">
        <v>Youth Program Event</v>
      </c>
      <c r="H333" s="11">
        <v>0</v>
      </c>
      <c r="I333" s="11"/>
      <c r="J333" s="11"/>
      <c r="K333" s="11"/>
      <c r="L333" s="11"/>
      <c r="M333" s="11"/>
      <c r="N333" s="11"/>
      <c r="O333" s="11"/>
      <c r="P333" s="11"/>
      <c r="Q333" s="11"/>
      <c r="R333" s="11"/>
      <c r="S333" s="11"/>
      <c r="T333" s="11"/>
    </row>
    <row r="334" spans="1:20" s="6" customFormat="1" ht="18" customHeight="1" x14ac:dyDescent="0.2">
      <c r="A334" s="7"/>
      <c r="B334" s="8" t="str">
        <v xml:space="preserve">Scout leadership course </v>
      </c>
      <c r="C334" s="64" t="str">
        <v/>
      </c>
      <c r="D334" s="9">
        <v>46508</v>
      </c>
      <c r="E334" s="9">
        <v>46508</v>
      </c>
      <c r="F334" s="10">
        <f t="shared" si="7"/>
        <v>1</v>
      </c>
      <c r="G334" s="11" t="str">
        <v>Youth Program Event</v>
      </c>
      <c r="H334" s="11">
        <v>0</v>
      </c>
      <c r="I334" s="11"/>
      <c r="J334" s="11"/>
      <c r="K334" s="11"/>
      <c r="L334" s="11"/>
      <c r="M334" s="11"/>
      <c r="N334" s="11"/>
      <c r="O334" s="11"/>
      <c r="P334" s="11"/>
      <c r="Q334" s="11"/>
      <c r="R334" s="11"/>
      <c r="S334" s="11"/>
      <c r="T334" s="11"/>
    </row>
    <row r="335" spans="1:20" s="6" customFormat="1" ht="18" customHeight="1" x14ac:dyDescent="0.2">
      <c r="A335" s="7"/>
      <c r="B335" s="8" t="str">
        <v>Nambour District Trek cart</v>
      </c>
      <c r="C335" s="64" t="str">
        <v/>
      </c>
      <c r="D335" s="9">
        <v>46539</v>
      </c>
      <c r="E335" s="9">
        <v>46539</v>
      </c>
      <c r="F335" s="10">
        <f t="shared" si="7"/>
        <v>1</v>
      </c>
      <c r="G335" s="11" t="str">
        <v>Youth Program Event</v>
      </c>
      <c r="H335" s="11">
        <v>0</v>
      </c>
      <c r="I335" s="11"/>
      <c r="J335" s="11"/>
      <c r="K335" s="11"/>
      <c r="L335" s="11"/>
      <c r="M335" s="11"/>
      <c r="N335" s="11"/>
      <c r="O335" s="11"/>
      <c r="P335" s="11"/>
      <c r="Q335" s="11"/>
      <c r="R335" s="11"/>
      <c r="S335" s="11"/>
      <c r="T335" s="11"/>
    </row>
    <row r="336" spans="1:20" s="6" customFormat="1" ht="18" customHeight="1" x14ac:dyDescent="0.2">
      <c r="A336" s="7"/>
      <c r="B336" s="8" t="str">
        <v>RoVenture applications period</v>
      </c>
      <c r="C336" s="64" t="str">
        <v/>
      </c>
      <c r="D336" s="9">
        <v>46539</v>
      </c>
      <c r="E336" s="9">
        <v>46539</v>
      </c>
      <c r="F336" s="10">
        <f t="shared" si="7"/>
        <v>1</v>
      </c>
      <c r="G336" s="11" t="str">
        <v>Prep</v>
      </c>
      <c r="H336" s="11">
        <v>0</v>
      </c>
      <c r="I336" s="11"/>
      <c r="J336" s="11"/>
      <c r="K336" s="11"/>
      <c r="L336" s="11"/>
      <c r="M336" s="11"/>
      <c r="N336" s="11"/>
      <c r="O336" s="11"/>
      <c r="P336" s="11"/>
      <c r="Q336" s="11"/>
      <c r="R336" s="11"/>
      <c r="S336" s="11"/>
      <c r="T336" s="11"/>
    </row>
    <row r="337" spans="1:20" s="6" customFormat="1" ht="18" customHeight="1" x14ac:dyDescent="0.2">
      <c r="A337" s="7"/>
      <c r="B337" s="8" t="str">
        <v>Wide Game</v>
      </c>
      <c r="C337" s="64" t="str">
        <v/>
      </c>
      <c r="D337" s="9">
        <v>46539</v>
      </c>
      <c r="E337" s="9">
        <v>46539</v>
      </c>
      <c r="F337" s="10">
        <f t="shared" si="7"/>
        <v>1</v>
      </c>
      <c r="G337" s="11" t="str">
        <v>Youth Program Event</v>
      </c>
      <c r="H337" s="11">
        <v>0</v>
      </c>
      <c r="I337" s="11"/>
      <c r="J337" s="11"/>
      <c r="K337" s="11"/>
      <c r="L337" s="11"/>
      <c r="M337" s="11"/>
      <c r="N337" s="11"/>
      <c r="O337" s="11"/>
      <c r="P337" s="11"/>
      <c r="Q337" s="11"/>
      <c r="R337" s="11"/>
      <c r="S337" s="11"/>
      <c r="T337" s="11"/>
    </row>
    <row r="338" spans="1:20" s="6" customFormat="1" ht="18" customHeight="1" x14ac:dyDescent="0.2">
      <c r="A338" s="7"/>
      <c r="B338" s="8" t="str">
        <v>Qld Rovers ARP</v>
      </c>
      <c r="C338" s="64" t="str">
        <v/>
      </c>
      <c r="D338" s="9">
        <v>46539</v>
      </c>
      <c r="E338" s="9">
        <v>46539</v>
      </c>
      <c r="F338" s="10">
        <f t="shared" si="7"/>
        <v>1</v>
      </c>
      <c r="G338" s="11" t="str">
        <v>Youth Program Event</v>
      </c>
      <c r="H338" s="11">
        <v>0</v>
      </c>
      <c r="I338" s="11"/>
      <c r="J338" s="11"/>
      <c r="K338" s="11"/>
      <c r="L338" s="11"/>
      <c r="M338" s="11"/>
      <c r="N338" s="11"/>
      <c r="O338" s="11"/>
      <c r="P338" s="11"/>
      <c r="Q338" s="11"/>
      <c r="R338" s="11"/>
      <c r="S338" s="11"/>
      <c r="T338" s="11"/>
    </row>
    <row r="339" spans="1:20" s="6" customFormat="1" ht="18" customHeight="1" x14ac:dyDescent="0.2">
      <c r="A339" s="7"/>
      <c r="B339" s="8" t="str">
        <v>School Holidays (July)</v>
      </c>
      <c r="C339" s="64" t="str">
        <v/>
      </c>
      <c r="D339" s="9">
        <v>46564</v>
      </c>
      <c r="E339" s="9">
        <v>46579</v>
      </c>
      <c r="F339" s="10">
        <f t="shared" si="7"/>
        <v>2</v>
      </c>
      <c r="G339" s="11" t="str">
        <v>Reference</v>
      </c>
      <c r="H339" s="11">
        <v>0</v>
      </c>
      <c r="I339" s="11"/>
      <c r="J339" s="11"/>
      <c r="K339" s="11"/>
      <c r="L339" s="11"/>
      <c r="M339" s="11"/>
      <c r="N339" s="11"/>
      <c r="O339" s="11"/>
      <c r="P339" s="11"/>
      <c r="Q339" s="11"/>
      <c r="R339" s="11"/>
      <c r="S339" s="11"/>
      <c r="T339" s="11"/>
    </row>
    <row r="340" spans="1:20" s="6" customFormat="1" ht="18" customHeight="1" x14ac:dyDescent="0.2">
      <c r="A340" s="7"/>
      <c r="B340" s="8" t="str">
        <v>Knight Moves</v>
      </c>
      <c r="C340" s="64" t="str">
        <v/>
      </c>
      <c r="D340" s="9">
        <v>46569</v>
      </c>
      <c r="E340" s="9">
        <v>46569</v>
      </c>
      <c r="F340" s="10">
        <f t="shared" si="7"/>
        <v>1</v>
      </c>
      <c r="G340" s="11" t="str">
        <v>Youth Program Event</v>
      </c>
      <c r="H340" s="11">
        <v>0</v>
      </c>
      <c r="I340" s="11"/>
      <c r="J340" s="11"/>
      <c r="K340" s="11"/>
      <c r="L340" s="11"/>
      <c r="M340" s="11"/>
      <c r="N340" s="11"/>
      <c r="O340" s="11"/>
      <c r="P340" s="11"/>
      <c r="Q340" s="11"/>
      <c r="R340" s="11"/>
      <c r="S340" s="11"/>
      <c r="T340" s="11"/>
    </row>
    <row r="341" spans="1:20" s="6" customFormat="1" ht="18" customHeight="1" x14ac:dyDescent="0.2">
      <c r="A341" s="7"/>
      <c r="B341" s="8" t="str">
        <v xml:space="preserve">Region Night Manoeuvres </v>
      </c>
      <c r="C341" s="64" t="str">
        <v/>
      </c>
      <c r="D341" s="9">
        <v>46569</v>
      </c>
      <c r="E341" s="9">
        <v>46569</v>
      </c>
      <c r="F341" s="10">
        <f t="shared" si="7"/>
        <v>1</v>
      </c>
      <c r="G341" s="11" t="str">
        <v>Youth Program Event</v>
      </c>
      <c r="H341" s="11">
        <v>0</v>
      </c>
      <c r="I341" s="11"/>
      <c r="J341" s="11"/>
      <c r="K341" s="11"/>
      <c r="L341" s="11"/>
      <c r="M341" s="11"/>
      <c r="N341" s="11"/>
      <c r="O341" s="11"/>
      <c r="P341" s="11"/>
      <c r="Q341" s="11"/>
      <c r="R341" s="11"/>
      <c r="S341" s="11"/>
      <c r="T341" s="11"/>
    </row>
    <row r="342" spans="1:20" s="6" customFormat="1" ht="18" customHeight="1" x14ac:dyDescent="0.2">
      <c r="A342" s="7"/>
      <c r="B342" s="8" t="str">
        <v>AA Weekends - Bushwalking, Abseiling, Canoeing (proposed)</v>
      </c>
      <c r="C342" s="64" t="str">
        <v/>
      </c>
      <c r="D342" s="9">
        <v>46569</v>
      </c>
      <c r="E342" s="9">
        <v>46569</v>
      </c>
      <c r="F342" s="10">
        <f t="shared" si="7"/>
        <v>1</v>
      </c>
      <c r="G342" s="11" t="str">
        <v>Youth Program Event</v>
      </c>
      <c r="H342" s="11">
        <v>0</v>
      </c>
      <c r="I342" s="11"/>
      <c r="J342" s="11"/>
      <c r="K342" s="11"/>
      <c r="L342" s="11"/>
      <c r="M342" s="11"/>
      <c r="N342" s="11"/>
      <c r="O342" s="11"/>
      <c r="P342" s="11"/>
      <c r="Q342" s="11"/>
      <c r="R342" s="11"/>
      <c r="S342" s="11"/>
      <c r="T342" s="11"/>
    </row>
    <row r="343" spans="1:20" s="6" customFormat="1" ht="18" customHeight="1" x14ac:dyDescent="0.2">
      <c r="A343" s="7"/>
      <c r="B343" s="8" t="str">
        <v>Trailblazer</v>
      </c>
      <c r="C343" s="64" t="str">
        <v/>
      </c>
      <c r="D343" s="9">
        <v>46569</v>
      </c>
      <c r="E343" s="9">
        <v>46569</v>
      </c>
      <c r="F343" s="10">
        <f t="shared" si="7"/>
        <v>1</v>
      </c>
      <c r="G343" s="11" t="str">
        <v>Youth Program Event</v>
      </c>
      <c r="H343" s="11">
        <v>0</v>
      </c>
      <c r="I343" s="11"/>
      <c r="J343" s="11"/>
      <c r="K343" s="11"/>
      <c r="L343" s="11"/>
      <c r="M343" s="11"/>
      <c r="N343" s="11"/>
      <c r="O343" s="11"/>
      <c r="P343" s="11"/>
      <c r="Q343" s="11"/>
      <c r="R343" s="11"/>
      <c r="S343" s="11"/>
      <c r="T343" s="11"/>
    </row>
    <row r="344" spans="1:20" s="6" customFormat="1" ht="18" customHeight="1" x14ac:dyDescent="0.2">
      <c r="A344" s="7"/>
      <c r="B344" s="8" t="str">
        <v>RoVenture</v>
      </c>
      <c r="C344" s="64" t="str">
        <v/>
      </c>
      <c r="D344" s="9">
        <v>46569</v>
      </c>
      <c r="E344" s="9">
        <v>46569</v>
      </c>
      <c r="F344" s="10">
        <f t="shared" si="7"/>
        <v>1</v>
      </c>
      <c r="G344" s="11" t="str">
        <v>Youth Program Event</v>
      </c>
      <c r="H344" s="11">
        <v>0</v>
      </c>
      <c r="I344" s="11"/>
      <c r="J344" s="11"/>
      <c r="K344" s="11"/>
      <c r="L344" s="11"/>
      <c r="M344" s="11"/>
      <c r="N344" s="11"/>
      <c r="O344" s="11"/>
      <c r="P344" s="11"/>
      <c r="Q344" s="11"/>
      <c r="R344" s="11"/>
      <c r="S344" s="11"/>
      <c r="T344" s="11"/>
    </row>
    <row r="345" spans="1:20" s="6" customFormat="1" ht="18" customHeight="1" x14ac:dyDescent="0.2">
      <c r="A345" s="7"/>
      <c r="B345" s="8" t="str">
        <v>QBRC Conference</v>
      </c>
      <c r="C345" s="64" t="str">
        <v/>
      </c>
      <c r="D345" s="9">
        <v>46569</v>
      </c>
      <c r="E345" s="9">
        <v>46569</v>
      </c>
      <c r="F345" s="10">
        <f t="shared" si="7"/>
        <v>1</v>
      </c>
      <c r="G345" s="11" t="str">
        <v>Youth Program Event</v>
      </c>
      <c r="H345" s="11">
        <v>0</v>
      </c>
      <c r="I345" s="11"/>
      <c r="J345" s="11"/>
      <c r="K345" s="11"/>
      <c r="L345" s="11"/>
      <c r="M345" s="11"/>
      <c r="N345" s="11"/>
      <c r="O345" s="11"/>
      <c r="P345" s="11"/>
      <c r="Q345" s="11"/>
      <c r="R345" s="11"/>
      <c r="S345" s="11"/>
      <c r="T345" s="11"/>
    </row>
    <row r="346" spans="1:20" s="6" customFormat="1" ht="18" customHeight="1" x14ac:dyDescent="0.2">
      <c r="A346" s="7"/>
      <c r="B346" s="8" t="str">
        <v>St George's Ball ticket purchasing period</v>
      </c>
      <c r="C346" s="64" t="str">
        <v/>
      </c>
      <c r="D346" s="9">
        <v>46600</v>
      </c>
      <c r="E346" s="9">
        <v>46600</v>
      </c>
      <c r="F346" s="10">
        <f t="shared" si="7"/>
        <v>1</v>
      </c>
      <c r="G346" s="11" t="str">
        <v>Prep</v>
      </c>
      <c r="H346" s="11">
        <v>0</v>
      </c>
      <c r="I346" s="11"/>
      <c r="J346" s="11"/>
      <c r="K346" s="11"/>
      <c r="L346" s="11"/>
      <c r="M346" s="11"/>
      <c r="N346" s="11"/>
      <c r="O346" s="11"/>
      <c r="P346" s="11"/>
      <c r="Q346" s="11"/>
      <c r="R346" s="11"/>
      <c r="S346" s="11"/>
      <c r="T346" s="11"/>
    </row>
    <row r="347" spans="1:20" s="6" customFormat="1" ht="18" customHeight="1" x14ac:dyDescent="0.2">
      <c r="A347" s="7"/>
      <c r="B347" s="8" t="str">
        <v>Nighthawk (Crows Nest)</v>
      </c>
      <c r="C347" s="64" t="str">
        <v/>
      </c>
      <c r="D347" s="9">
        <v>46613</v>
      </c>
      <c r="E347" s="9">
        <v>46614</v>
      </c>
      <c r="F347" s="10">
        <f t="shared" si="7"/>
        <v>1</v>
      </c>
      <c r="G347" s="11" t="str">
        <v>Youth Program Event</v>
      </c>
      <c r="H347" s="11">
        <v>0</v>
      </c>
      <c r="I347" s="11"/>
      <c r="J347" s="11"/>
      <c r="K347" s="11"/>
      <c r="L347" s="11"/>
      <c r="M347" s="11"/>
      <c r="N347" s="11"/>
      <c r="O347" s="11"/>
      <c r="P347" s="11"/>
      <c r="Q347" s="11"/>
      <c r="R347" s="11"/>
      <c r="S347" s="11"/>
      <c r="T347" s="11"/>
    </row>
    <row r="348" spans="1:20" s="6" customFormat="1" ht="18" customHeight="1" x14ac:dyDescent="0.2">
      <c r="A348" s="7"/>
      <c r="B348" s="8" t="str">
        <v>ScoutFest 2027</v>
      </c>
      <c r="C348" s="64" t="str">
        <v/>
      </c>
      <c r="D348" s="9">
        <v>46619</v>
      </c>
      <c r="E348" s="9">
        <v>46621</v>
      </c>
      <c r="F348" s="10">
        <f t="shared" si="7"/>
        <v>1</v>
      </c>
      <c r="G348" s="11" t="str">
        <v>Youth Program Event</v>
      </c>
      <c r="H348" s="11">
        <v>0</v>
      </c>
      <c r="I348" s="11"/>
      <c r="J348" s="11"/>
      <c r="K348" s="11"/>
      <c r="L348" s="11"/>
      <c r="M348" s="11"/>
      <c r="N348" s="11"/>
      <c r="O348" s="11"/>
      <c r="P348" s="11"/>
      <c r="Q348" s="11"/>
      <c r="R348" s="11"/>
      <c r="S348" s="11"/>
      <c r="T348" s="11"/>
    </row>
    <row r="349" spans="1:20" s="6" customFormat="1" ht="18" customHeight="1" x14ac:dyDescent="0.2">
      <c r="A349" s="7"/>
      <c r="B349" s="8" t="str">
        <v>Cub Scout Leader Expo</v>
      </c>
      <c r="C349" s="64" t="str">
        <v/>
      </c>
      <c r="D349" s="9">
        <v>46620</v>
      </c>
      <c r="E349" s="9">
        <v>46622</v>
      </c>
      <c r="F349" s="10">
        <f t="shared" si="7"/>
        <v>1</v>
      </c>
      <c r="G349" s="11" t="str">
        <v>Youth Program Event</v>
      </c>
      <c r="H349" s="11">
        <v>0</v>
      </c>
      <c r="I349" s="11"/>
      <c r="J349" s="11"/>
      <c r="K349" s="11"/>
      <c r="L349" s="11"/>
      <c r="M349" s="11"/>
      <c r="N349" s="11"/>
      <c r="O349" s="11"/>
      <c r="P349" s="11"/>
      <c r="Q349" s="11"/>
      <c r="R349" s="11"/>
      <c r="S349" s="11"/>
      <c r="T349" s="11"/>
    </row>
    <row r="350" spans="1:20" s="6" customFormat="1" ht="18" customHeight="1" x14ac:dyDescent="0.2">
      <c r="A350" s="7"/>
      <c r="B350" s="8" t="str">
        <v>St George's Ball</v>
      </c>
      <c r="C350" s="64" t="str">
        <v/>
      </c>
      <c r="D350" s="9">
        <v>46631</v>
      </c>
      <c r="E350" s="9">
        <v>46631</v>
      </c>
      <c r="F350" s="10">
        <f t="shared" si="7"/>
        <v>1</v>
      </c>
      <c r="G350" s="11" t="str">
        <v>Youth Program Event</v>
      </c>
      <c r="H350" s="11">
        <v>0</v>
      </c>
      <c r="I350" s="11"/>
      <c r="J350" s="11"/>
      <c r="K350" s="11"/>
      <c r="L350" s="11"/>
      <c r="M350" s="11"/>
      <c r="N350" s="11"/>
      <c r="O350" s="11"/>
      <c r="P350" s="11"/>
      <c r="Q350" s="11"/>
      <c r="R350" s="11"/>
      <c r="S350" s="11"/>
      <c r="T350" s="11"/>
    </row>
    <row r="351" spans="1:20" s="6" customFormat="1" ht="18" customHeight="1" x14ac:dyDescent="0.2">
      <c r="A351" s="7"/>
      <c r="B351" s="8" t="str">
        <v>AA Weekends - Bushwalking, Abseiling, Canoeing (proposed)</v>
      </c>
      <c r="C351" s="64" t="str">
        <v/>
      </c>
      <c r="D351" s="9">
        <v>46631</v>
      </c>
      <c r="E351" s="9">
        <v>46631</v>
      </c>
      <c r="F351" s="10">
        <f t="shared" si="7"/>
        <v>1</v>
      </c>
      <c r="G351" s="11" t="str">
        <v>Youth Program Event</v>
      </c>
      <c r="H351" s="11">
        <v>0</v>
      </c>
      <c r="I351" s="11"/>
      <c r="J351" s="11"/>
      <c r="K351" s="11"/>
      <c r="L351" s="11"/>
      <c r="M351" s="11"/>
      <c r="N351" s="11"/>
      <c r="O351" s="11"/>
      <c r="P351" s="11"/>
      <c r="Q351" s="11"/>
      <c r="R351" s="11"/>
      <c r="S351" s="11"/>
      <c r="T351" s="11"/>
    </row>
    <row r="352" spans="1:20" s="6" customFormat="1" ht="18" customHeight="1" x14ac:dyDescent="0.2">
      <c r="A352" s="7"/>
      <c r="B352" s="8" t="str">
        <v>Banana Bash applications period</v>
      </c>
      <c r="C352" s="64" t="str">
        <v/>
      </c>
      <c r="D352" s="9">
        <v>46631</v>
      </c>
      <c r="E352" s="9">
        <v>46631</v>
      </c>
      <c r="F352" s="10">
        <f t="shared" si="7"/>
        <v>1</v>
      </c>
      <c r="G352" s="11" t="str">
        <v>Prep</v>
      </c>
      <c r="H352" s="11">
        <v>0</v>
      </c>
      <c r="I352" s="11"/>
      <c r="J352" s="11"/>
      <c r="K352" s="11"/>
      <c r="L352" s="11"/>
      <c r="M352" s="11"/>
      <c r="N352" s="11"/>
      <c r="O352" s="11"/>
      <c r="P352" s="11"/>
      <c r="Q352" s="11"/>
      <c r="R352" s="11"/>
      <c r="S352" s="11"/>
      <c r="T352" s="11"/>
    </row>
    <row r="353" spans="1:20" s="6" customFormat="1" ht="18" customHeight="1" x14ac:dyDescent="0.2">
      <c r="A353" s="7"/>
      <c r="B353" s="8" t="str">
        <v xml:space="preserve">Scout leadership course </v>
      </c>
      <c r="C353" s="64" t="str">
        <v/>
      </c>
      <c r="D353" s="9">
        <v>46631</v>
      </c>
      <c r="E353" s="9">
        <v>46631</v>
      </c>
      <c r="F353" s="10">
        <f t="shared" si="7"/>
        <v>1</v>
      </c>
      <c r="G353" s="11" t="str">
        <v>Youth Program Event</v>
      </c>
      <c r="H353" s="11">
        <v>0</v>
      </c>
      <c r="I353" s="11"/>
      <c r="J353" s="11"/>
      <c r="K353" s="11"/>
      <c r="L353" s="11"/>
      <c r="M353" s="11"/>
      <c r="N353" s="11"/>
      <c r="O353" s="11"/>
      <c r="P353" s="11"/>
      <c r="Q353" s="11"/>
      <c r="R353" s="11"/>
      <c r="S353" s="11"/>
      <c r="T353" s="11"/>
    </row>
    <row r="354" spans="1:20" s="6" customFormat="1" ht="18" customHeight="1" x14ac:dyDescent="0.2">
      <c r="A354" s="7"/>
      <c r="B354" s="8" t="str">
        <v xml:space="preserve">Venturer Scout leadership course </v>
      </c>
      <c r="C354" s="64" t="str">
        <v/>
      </c>
      <c r="D354" s="9">
        <v>46631</v>
      </c>
      <c r="E354" s="9">
        <v>46631</v>
      </c>
      <c r="F354" s="10">
        <f t="shared" si="7"/>
        <v>1</v>
      </c>
      <c r="G354" s="11" t="str">
        <v>Youth Program Event</v>
      </c>
      <c r="H354" s="11">
        <v>0</v>
      </c>
      <c r="I354" s="11"/>
      <c r="J354" s="11"/>
      <c r="K354" s="11"/>
      <c r="L354" s="11"/>
      <c r="M354" s="11"/>
      <c r="N354" s="11"/>
      <c r="O354" s="11"/>
      <c r="P354" s="11"/>
      <c r="Q354" s="11"/>
      <c r="R354" s="11"/>
      <c r="S354" s="11"/>
      <c r="T354" s="11"/>
    </row>
    <row r="355" spans="1:20" s="6" customFormat="1" ht="18" customHeight="1" x14ac:dyDescent="0.2">
      <c r="A355" s="7"/>
      <c r="B355" s="8" t="str">
        <v>School Holidays (September)</v>
      </c>
      <c r="C355" s="64" t="str">
        <v/>
      </c>
      <c r="D355" s="9">
        <v>46648</v>
      </c>
      <c r="E355" s="9">
        <v>46664</v>
      </c>
      <c r="F355" s="10">
        <f t="shared" si="7"/>
        <v>2</v>
      </c>
      <c r="G355" s="11" t="str">
        <v>Reference</v>
      </c>
      <c r="H355" s="11">
        <v>0</v>
      </c>
      <c r="I355" s="11"/>
      <c r="J355" s="11"/>
      <c r="K355" s="11"/>
      <c r="L355" s="11"/>
      <c r="M355" s="11"/>
      <c r="N355" s="11"/>
      <c r="O355" s="11"/>
      <c r="P355" s="11"/>
      <c r="Q355" s="11"/>
      <c r="R355" s="11"/>
      <c r="S355" s="11"/>
      <c r="T355" s="11"/>
    </row>
    <row r="356" spans="1:20" s="6" customFormat="1" ht="18" customHeight="1" x14ac:dyDescent="0.2">
      <c r="A356" s="7"/>
      <c r="B356" s="8" t="str">
        <v>Cub Scout leadership course</v>
      </c>
      <c r="C356" s="64" t="str">
        <v/>
      </c>
      <c r="D356" s="9">
        <v>46661</v>
      </c>
      <c r="E356" s="9">
        <v>46661</v>
      </c>
      <c r="F356" s="10">
        <f t="shared" si="7"/>
        <v>1</v>
      </c>
      <c r="G356" s="11" t="str">
        <v>Youth Program Event</v>
      </c>
      <c r="H356" s="11">
        <v>0</v>
      </c>
      <c r="I356" s="11"/>
      <c r="J356" s="11"/>
      <c r="K356" s="11"/>
      <c r="L356" s="11"/>
      <c r="M356" s="11"/>
      <c r="N356" s="11"/>
      <c r="O356" s="11"/>
      <c r="P356" s="11"/>
      <c r="Q356" s="11"/>
      <c r="R356" s="11"/>
      <c r="S356" s="11"/>
      <c r="T356" s="11"/>
    </row>
    <row r="357" spans="1:20" s="6" customFormat="1" ht="18" customHeight="1" x14ac:dyDescent="0.2">
      <c r="A357" s="7"/>
      <c r="B357" s="8" t="str">
        <v>Cougar Trophy scout section backwoods cooking competition</v>
      </c>
      <c r="C357" s="64" t="str">
        <v/>
      </c>
      <c r="D357" s="9">
        <v>46661</v>
      </c>
      <c r="E357" s="9">
        <v>46661</v>
      </c>
      <c r="F357" s="10">
        <f t="shared" si="7"/>
        <v>1</v>
      </c>
      <c r="G357" s="11" t="str">
        <v>Youth Program Event</v>
      </c>
      <c r="H357" s="11">
        <v>0</v>
      </c>
      <c r="I357" s="11"/>
      <c r="J357" s="11"/>
      <c r="K357" s="11"/>
      <c r="L357" s="11"/>
      <c r="M357" s="11"/>
      <c r="N357" s="11"/>
      <c r="O357" s="11"/>
      <c r="P357" s="11"/>
      <c r="Q357" s="11"/>
      <c r="R357" s="11"/>
      <c r="S357" s="11"/>
      <c r="T357" s="11"/>
    </row>
    <row r="358" spans="1:20" s="6" customFormat="1" ht="18" customHeight="1" x14ac:dyDescent="0.2">
      <c r="A358" s="7"/>
      <c r="B358" s="8" t="str">
        <v>Region Cub Camp</v>
      </c>
      <c r="C358" s="64" t="str">
        <v/>
      </c>
      <c r="D358" s="9">
        <v>46661</v>
      </c>
      <c r="E358" s="9">
        <v>46661</v>
      </c>
      <c r="F358" s="10">
        <f t="shared" si="7"/>
        <v>1</v>
      </c>
      <c r="G358" s="11" t="str">
        <v>Youth Program Event</v>
      </c>
      <c r="H358" s="11">
        <v>0</v>
      </c>
      <c r="I358" s="11"/>
      <c r="J358" s="11"/>
      <c r="K358" s="11"/>
      <c r="L358" s="11"/>
      <c r="M358" s="11"/>
      <c r="N358" s="11"/>
      <c r="O358" s="11"/>
      <c r="P358" s="11"/>
      <c r="Q358" s="11"/>
      <c r="R358" s="11"/>
      <c r="S358" s="11"/>
      <c r="T358" s="11"/>
    </row>
    <row r="359" spans="1:20" s="6" customFormat="1" ht="18" customHeight="1" x14ac:dyDescent="0.2">
      <c r="A359" s="7"/>
      <c r="B359" s="8" t="str">
        <v>District/Region Moot</v>
      </c>
      <c r="C359" s="64" t="str">
        <v/>
      </c>
      <c r="D359" s="9">
        <v>46661</v>
      </c>
      <c r="E359" s="9">
        <v>46661</v>
      </c>
      <c r="F359" s="10">
        <f t="shared" si="7"/>
        <v>1</v>
      </c>
      <c r="G359" s="11" t="str">
        <v>Youth Program Event</v>
      </c>
      <c r="H359" s="11">
        <v>0</v>
      </c>
      <c r="I359" s="11"/>
      <c r="J359" s="11"/>
      <c r="K359" s="11"/>
      <c r="L359" s="11"/>
      <c r="M359" s="11"/>
      <c r="N359" s="11"/>
      <c r="O359" s="11"/>
      <c r="P359" s="11"/>
      <c r="Q359" s="11"/>
      <c r="R359" s="11"/>
      <c r="S359" s="11"/>
      <c r="T359" s="11"/>
    </row>
    <row r="360" spans="1:20" s="6" customFormat="1" ht="18" customHeight="1" x14ac:dyDescent="0.2">
      <c r="A360" s="7"/>
      <c r="B360" s="8" t="str">
        <v>Banana Bash</v>
      </c>
      <c r="C360" s="64" t="str">
        <v/>
      </c>
      <c r="D360" s="9">
        <v>46661</v>
      </c>
      <c r="E360" s="9">
        <v>46661</v>
      </c>
      <c r="F360" s="10">
        <f t="shared" si="7"/>
        <v>1</v>
      </c>
      <c r="G360" s="11" t="str">
        <v>Youth Program Event</v>
      </c>
      <c r="H360" s="11">
        <v>0</v>
      </c>
      <c r="I360" s="11"/>
      <c r="J360" s="11"/>
      <c r="K360" s="11"/>
      <c r="L360" s="11"/>
      <c r="M360" s="11"/>
      <c r="N360" s="11"/>
      <c r="O360" s="11"/>
      <c r="P360" s="11"/>
      <c r="Q360" s="11"/>
      <c r="R360" s="11"/>
      <c r="S360" s="11"/>
      <c r="T360" s="11"/>
    </row>
    <row r="361" spans="1:20" s="6" customFormat="1" ht="18" customHeight="1" x14ac:dyDescent="0.2">
      <c r="A361" s="7"/>
      <c r="B361" s="8" t="str">
        <v>District Skate Nighty</v>
      </c>
      <c r="C361" s="64" t="str">
        <v/>
      </c>
      <c r="D361" s="9">
        <v>46661</v>
      </c>
      <c r="E361" s="9">
        <v>46661</v>
      </c>
      <c r="F361" s="10">
        <f t="shared" si="7"/>
        <v>1</v>
      </c>
      <c r="G361" s="11" t="str">
        <v>Youth Program Event</v>
      </c>
      <c r="H361" s="11">
        <v>0</v>
      </c>
      <c r="I361" s="11"/>
      <c r="J361" s="11"/>
      <c r="K361" s="11"/>
      <c r="L361" s="11"/>
      <c r="M361" s="11"/>
      <c r="N361" s="11"/>
      <c r="O361" s="11"/>
      <c r="P361" s="11"/>
      <c r="Q361" s="11"/>
      <c r="R361" s="11"/>
      <c r="S361" s="11"/>
      <c r="T361" s="11"/>
    </row>
    <row r="362" spans="1:20" s="6" customFormat="1" ht="18" customHeight="1" x14ac:dyDescent="0.2">
      <c r="A362" s="7"/>
      <c r="B362" s="8" t="str">
        <v>RAW (Region Activity Weekend)</v>
      </c>
      <c r="C362" s="64" t="str">
        <v/>
      </c>
      <c r="D362" s="9">
        <v>46692</v>
      </c>
      <c r="E362" s="9">
        <v>46692</v>
      </c>
      <c r="F362" s="10">
        <f t="shared" si="7"/>
        <v>1</v>
      </c>
      <c r="G362" s="11" t="str">
        <v>Youth Program Event</v>
      </c>
      <c r="H362" s="11">
        <v>0</v>
      </c>
      <c r="I362" s="11"/>
      <c r="J362" s="11"/>
      <c r="K362" s="11"/>
      <c r="L362" s="11"/>
      <c r="M362" s="11"/>
      <c r="N362" s="11"/>
      <c r="O362" s="11"/>
      <c r="P362" s="11"/>
      <c r="Q362" s="11"/>
      <c r="R362" s="11"/>
      <c r="S362" s="11"/>
      <c r="T362" s="11"/>
    </row>
    <row r="363" spans="1:20" s="6" customFormat="1" ht="18" customHeight="1" x14ac:dyDescent="0.2">
      <c r="A363" s="7"/>
      <c r="B363" s="8" t="str">
        <v>AA Weekends - Bushwalking, Abseiling, Canoeing (proposed)</v>
      </c>
      <c r="C363" s="64" t="str">
        <v/>
      </c>
      <c r="D363" s="9">
        <v>46692</v>
      </c>
      <c r="E363" s="9">
        <v>46692</v>
      </c>
      <c r="F363" s="10">
        <f t="shared" si="7"/>
        <v>1</v>
      </c>
      <c r="G363" s="11" t="str">
        <v>Youth Program Event</v>
      </c>
      <c r="H363" s="11">
        <v>0</v>
      </c>
      <c r="I363" s="11"/>
      <c r="J363" s="11"/>
      <c r="K363" s="11"/>
      <c r="L363" s="11"/>
      <c r="M363" s="11"/>
      <c r="N363" s="11"/>
      <c r="O363" s="11"/>
      <c r="P363" s="11"/>
      <c r="Q363" s="11"/>
      <c r="R363" s="11"/>
      <c r="S363" s="11"/>
      <c r="T363" s="11"/>
    </row>
    <row r="364" spans="1:20" s="6" customFormat="1" ht="18" customHeight="1" x14ac:dyDescent="0.2">
      <c r="A364" s="7"/>
      <c r="B364" s="8" t="str">
        <v>District Rally</v>
      </c>
      <c r="C364" s="64" t="str">
        <v/>
      </c>
      <c r="D364" s="9">
        <v>46692</v>
      </c>
      <c r="E364" s="9">
        <v>46692</v>
      </c>
      <c r="F364" s="10">
        <f t="shared" si="7"/>
        <v>1</v>
      </c>
      <c r="G364" s="11" t="str">
        <v>Youth Program Event</v>
      </c>
      <c r="H364" s="11">
        <v>0</v>
      </c>
      <c r="I364" s="11"/>
      <c r="J364" s="11"/>
      <c r="K364" s="11"/>
      <c r="L364" s="11"/>
      <c r="M364" s="11"/>
      <c r="N364" s="11"/>
      <c r="O364" s="11"/>
      <c r="P364" s="11"/>
      <c r="Q364" s="11"/>
      <c r="R364" s="11"/>
      <c r="S364" s="11"/>
      <c r="T364" s="11"/>
    </row>
    <row r="365" spans="1:20" s="6" customFormat="1" ht="18" customHeight="1" x14ac:dyDescent="0.2">
      <c r="A365" s="7"/>
      <c r="B365" s="8" t="str">
        <v>PL Adventure</v>
      </c>
      <c r="C365" s="64" t="str">
        <v/>
      </c>
      <c r="D365" s="9">
        <v>46692</v>
      </c>
      <c r="E365" s="9">
        <v>46692</v>
      </c>
      <c r="F365" s="10">
        <f t="shared" si="7"/>
        <v>1</v>
      </c>
      <c r="G365" s="11" t="str">
        <v>Youth Program Event</v>
      </c>
      <c r="H365" s="11">
        <v>0</v>
      </c>
      <c r="I365" s="11"/>
      <c r="J365" s="11"/>
      <c r="K365" s="11"/>
      <c r="L365" s="11"/>
      <c r="M365" s="11"/>
      <c r="N365" s="11"/>
      <c r="O365" s="11"/>
      <c r="P365" s="11"/>
      <c r="Q365" s="11"/>
      <c r="R365" s="11"/>
      <c r="S365" s="11"/>
      <c r="T365" s="11"/>
    </row>
    <row r="366" spans="1:20" s="6" customFormat="1" ht="18" customHeight="1" x14ac:dyDescent="0.2">
      <c r="A366" s="7"/>
      <c r="B366" s="8" t="str">
        <v>QBRC Conference</v>
      </c>
      <c r="C366" s="64" t="str">
        <v/>
      </c>
      <c r="D366" s="9">
        <v>46692</v>
      </c>
      <c r="E366" s="9">
        <v>46692</v>
      </c>
      <c r="F366" s="10">
        <f t="shared" si="7"/>
        <v>1</v>
      </c>
      <c r="G366" s="11" t="str">
        <v>Youth Program Event</v>
      </c>
      <c r="H366" s="11">
        <v>0</v>
      </c>
      <c r="I366" s="11"/>
      <c r="J366" s="11"/>
      <c r="K366" s="11"/>
      <c r="L366" s="11"/>
      <c r="M366" s="11"/>
      <c r="N366" s="11"/>
      <c r="O366" s="11"/>
      <c r="P366" s="11"/>
      <c r="Q366" s="11"/>
      <c r="R366" s="11"/>
      <c r="S366" s="11"/>
      <c r="T366" s="11"/>
    </row>
    <row r="367" spans="1:20" s="6" customFormat="1" ht="18" customHeight="1" x14ac:dyDescent="0.2">
      <c r="A367" s="7"/>
      <c r="B367" s="8" t="str">
        <v>School Holidays (December)</v>
      </c>
      <c r="C367" s="64" t="str">
        <v/>
      </c>
      <c r="D367" s="9">
        <v>46732</v>
      </c>
      <c r="E367" s="9">
        <v>46775</v>
      </c>
      <c r="F367" s="10">
        <f t="shared" si="7"/>
        <v>2</v>
      </c>
      <c r="G367" s="11" t="str">
        <v>Reference</v>
      </c>
      <c r="H367" s="11">
        <v>0</v>
      </c>
      <c r="I367" s="11"/>
      <c r="J367" s="11"/>
      <c r="K367" s="11"/>
      <c r="L367" s="11"/>
      <c r="M367" s="11"/>
      <c r="N367" s="11"/>
      <c r="O367" s="11"/>
      <c r="P367" s="11"/>
      <c r="Q367" s="11"/>
      <c r="R367" s="11"/>
      <c r="S367" s="11"/>
      <c r="T367" s="11"/>
    </row>
    <row r="368" spans="1:20" s="6" customFormat="1" ht="18" customHeight="1" x14ac:dyDescent="0.2">
      <c r="A368" s="7"/>
      <c r="B368" s="8" t="str">
        <v>27th Australian Jamboree (AJ2028)</v>
      </c>
      <c r="C368" s="64" t="str">
        <v/>
      </c>
      <c r="D368" s="9">
        <v>46749</v>
      </c>
      <c r="E368" s="9">
        <v>46758</v>
      </c>
      <c r="F368" s="10">
        <f t="shared" si="7"/>
        <v>2</v>
      </c>
      <c r="G368" s="11" t="str">
        <v>Youth Program Event</v>
      </c>
      <c r="H368" s="11">
        <v>0</v>
      </c>
      <c r="I368" s="11"/>
      <c r="J368" s="11"/>
      <c r="K368" s="11"/>
      <c r="L368" s="11"/>
      <c r="M368" s="11"/>
      <c r="N368" s="11"/>
      <c r="O368" s="11"/>
      <c r="P368" s="11"/>
      <c r="Q368" s="11"/>
      <c r="R368" s="11"/>
      <c r="S368" s="11"/>
      <c r="T368" s="11"/>
    </row>
    <row r="369" spans="1:20" s="6" customFormat="1" ht="18" customHeight="1" x14ac:dyDescent="0.2">
      <c r="A369" s="7"/>
      <c r="B369" s="8" t="str">
        <v>School Holidays (April)</v>
      </c>
      <c r="C369" s="64" t="str">
        <v/>
      </c>
      <c r="D369" s="9">
        <v>46844</v>
      </c>
      <c r="E369" s="9">
        <v>46860</v>
      </c>
      <c r="F369" s="10">
        <f t="shared" si="7"/>
        <v>1</v>
      </c>
      <c r="G369" s="11" t="str">
        <v>Reference</v>
      </c>
      <c r="H369" s="11">
        <v>0</v>
      </c>
      <c r="I369" s="11"/>
      <c r="J369" s="11"/>
      <c r="K369" s="11"/>
      <c r="L369" s="11"/>
      <c r="M369" s="11"/>
      <c r="N369" s="11"/>
      <c r="O369" s="11"/>
      <c r="P369" s="11"/>
      <c r="Q369" s="11"/>
      <c r="R369" s="11"/>
      <c r="S369" s="11"/>
      <c r="T369" s="11"/>
    </row>
    <row r="370" spans="1:20" s="6" customFormat="1" ht="18" customHeight="1" x14ac:dyDescent="0.2">
      <c r="A370" s="7"/>
      <c r="B370" s="8" t="str">
        <v>Easter 2028</v>
      </c>
      <c r="C370" s="64" t="str">
        <v/>
      </c>
      <c r="D370" s="9">
        <v>46857</v>
      </c>
      <c r="E370" s="9">
        <v>46860</v>
      </c>
      <c r="F370" s="10">
        <f t="shared" si="7"/>
        <v>1</v>
      </c>
      <c r="G370" s="11" t="str">
        <v>Reference</v>
      </c>
      <c r="H370" s="11">
        <v>0</v>
      </c>
      <c r="I370" s="11"/>
      <c r="J370" s="11"/>
      <c r="K370" s="11"/>
      <c r="L370" s="11"/>
      <c r="M370" s="11"/>
      <c r="N370" s="11"/>
      <c r="O370" s="11"/>
      <c r="P370" s="11"/>
      <c r="Q370" s="11"/>
      <c r="R370" s="11"/>
      <c r="S370" s="11"/>
      <c r="T370" s="11"/>
    </row>
    <row r="371" spans="1:20" s="6" customFormat="1" ht="18" customHeight="1" x14ac:dyDescent="0.2">
      <c r="A371" s="7"/>
      <c r="B371" s="8" t="str">
        <v>School Holidays (July)</v>
      </c>
      <c r="C371" s="64" t="str">
        <v/>
      </c>
      <c r="D371" s="9">
        <v>46928</v>
      </c>
      <c r="E371" s="9">
        <v>46943</v>
      </c>
      <c r="F371" s="10">
        <f t="shared" si="7"/>
        <v>2</v>
      </c>
      <c r="G371" s="11" t="str">
        <v>Reference</v>
      </c>
      <c r="H371" s="11">
        <v>0</v>
      </c>
      <c r="I371" s="11"/>
      <c r="J371" s="11"/>
      <c r="K371" s="11"/>
      <c r="L371" s="11"/>
      <c r="M371" s="11"/>
      <c r="N371" s="11"/>
      <c r="O371" s="11"/>
      <c r="P371" s="11"/>
      <c r="Q371" s="11"/>
      <c r="R371" s="11"/>
      <c r="S371" s="11"/>
      <c r="T371" s="11"/>
    </row>
    <row r="372" spans="1:20" s="6" customFormat="1" ht="18" customHeight="1" x14ac:dyDescent="0.2">
      <c r="A372" s="7"/>
      <c r="B372" s="8" t="str">
        <v>School Holidays (September)</v>
      </c>
      <c r="C372" s="64" t="str">
        <v/>
      </c>
      <c r="D372" s="9">
        <v>47012</v>
      </c>
      <c r="E372" s="9">
        <v>47028</v>
      </c>
      <c r="F372" s="10">
        <f t="shared" si="7"/>
        <v>2</v>
      </c>
      <c r="G372" s="11" t="str">
        <v>Reference</v>
      </c>
      <c r="H372" s="11">
        <v>0</v>
      </c>
      <c r="I372" s="11"/>
      <c r="J372" s="11"/>
      <c r="K372" s="11"/>
      <c r="L372" s="11"/>
      <c r="M372" s="11"/>
      <c r="N372" s="11"/>
      <c r="O372" s="11"/>
      <c r="P372" s="11"/>
      <c r="Q372" s="11"/>
      <c r="R372" s="11"/>
      <c r="S372" s="11"/>
      <c r="T372" s="11"/>
    </row>
    <row r="373" spans="1:20" s="6" customFormat="1" ht="18" customHeight="1" x14ac:dyDescent="0.2">
      <c r="A373" s="7"/>
      <c r="B373" s="8" t="str">
        <v>School Holidays (December)</v>
      </c>
      <c r="C373" s="64" t="str">
        <v/>
      </c>
      <c r="D373" s="9">
        <v>47096</v>
      </c>
      <c r="E373" s="9">
        <v>47139</v>
      </c>
      <c r="F373" s="10">
        <f t="shared" si="7"/>
        <v>2</v>
      </c>
      <c r="G373" s="11" t="str">
        <v>Reference</v>
      </c>
      <c r="H373" s="11">
        <v>0</v>
      </c>
      <c r="I373" s="11"/>
      <c r="J373" s="11"/>
      <c r="K373" s="11"/>
      <c r="L373" s="11"/>
      <c r="M373" s="11"/>
      <c r="N373" s="11"/>
      <c r="O373" s="11"/>
      <c r="P373" s="11"/>
      <c r="Q373" s="11"/>
      <c r="R373" s="11"/>
      <c r="S373" s="11"/>
      <c r="T373" s="11"/>
    </row>
    <row r="374" spans="1:20" s="6" customFormat="1" ht="18" customHeight="1" x14ac:dyDescent="0.2">
      <c r="A374" s="7"/>
      <c r="B374" s="8" t="str">
        <v>Easter 2029</v>
      </c>
      <c r="C374" s="64" t="str">
        <v/>
      </c>
      <c r="D374" s="9">
        <v>47207</v>
      </c>
      <c r="E374" s="9">
        <v>47210</v>
      </c>
      <c r="F374" s="10">
        <f t="shared" si="7"/>
        <v>2</v>
      </c>
      <c r="G374" s="11" t="str">
        <v>Reference</v>
      </c>
      <c r="H374" s="11">
        <v>0</v>
      </c>
      <c r="I374" s="11"/>
      <c r="J374" s="11"/>
      <c r="K374" s="11"/>
      <c r="L374" s="11"/>
      <c r="M374" s="11"/>
      <c r="N374" s="11"/>
      <c r="O374" s="11"/>
      <c r="P374" s="11"/>
      <c r="Q374" s="11"/>
      <c r="R374" s="11"/>
      <c r="S374" s="11"/>
      <c r="T374" s="11"/>
    </row>
    <row r="375" spans="1:20" s="6" customFormat="1" ht="18" customHeight="1" x14ac:dyDescent="0.2">
      <c r="A375" s="7"/>
      <c r="B375" s="8" t="str">
        <v>School Holidays (April)</v>
      </c>
      <c r="C375" s="64" t="str">
        <v/>
      </c>
      <c r="D375" s="9">
        <v>47207</v>
      </c>
      <c r="E375" s="9">
        <v>47223</v>
      </c>
      <c r="F375" s="10">
        <f t="shared" si="7"/>
        <v>2</v>
      </c>
      <c r="G375" s="11" t="str">
        <v>Reference</v>
      </c>
      <c r="H375" s="11">
        <v>0</v>
      </c>
      <c r="I375" s="11"/>
      <c r="J375" s="11"/>
      <c r="K375" s="11"/>
      <c r="L375" s="11"/>
      <c r="M375" s="11"/>
      <c r="N375" s="11"/>
      <c r="O375" s="11"/>
      <c r="P375" s="11"/>
      <c r="Q375" s="11"/>
      <c r="R375" s="11"/>
      <c r="S375" s="11"/>
      <c r="T375" s="11"/>
    </row>
    <row r="376" spans="1:20" s="6" customFormat="1" ht="18" customHeight="1" x14ac:dyDescent="0.2">
      <c r="A376" s="7"/>
      <c r="B376" s="8" t="str">
        <v>School Holidays (July)</v>
      </c>
      <c r="C376" s="64" t="str">
        <v/>
      </c>
      <c r="D376" s="9">
        <v>47292</v>
      </c>
      <c r="E376" s="9">
        <v>47307</v>
      </c>
      <c r="F376" s="10">
        <f t="shared" si="7"/>
        <v>2</v>
      </c>
      <c r="G376" s="11" t="str">
        <v>Reference</v>
      </c>
      <c r="H376" s="11">
        <v>0</v>
      </c>
      <c r="I376" s="11"/>
      <c r="J376" s="11"/>
      <c r="K376" s="11"/>
      <c r="L376" s="11"/>
      <c r="M376" s="11"/>
      <c r="N376" s="11"/>
      <c r="O376" s="11"/>
      <c r="P376" s="11"/>
      <c r="Q376" s="11"/>
      <c r="R376" s="11"/>
      <c r="S376" s="11"/>
      <c r="T376" s="11"/>
    </row>
    <row r="377" spans="1:20" s="6" customFormat="1" ht="18" customHeight="1" x14ac:dyDescent="0.2">
      <c r="A377" s="7"/>
      <c r="B377" s="8" t="str">
        <v>School Holidays (September)</v>
      </c>
      <c r="C377" s="64" t="str">
        <v/>
      </c>
      <c r="D377" s="9">
        <v>47376</v>
      </c>
      <c r="E377" s="9">
        <v>47392</v>
      </c>
      <c r="F377" s="10">
        <f t="shared" si="7"/>
        <v>2</v>
      </c>
      <c r="G377" s="11" t="str">
        <v>Reference</v>
      </c>
      <c r="H377" s="11">
        <v>0</v>
      </c>
      <c r="I377" s="11"/>
      <c r="J377" s="11"/>
      <c r="K377" s="11"/>
      <c r="L377" s="11"/>
      <c r="M377" s="11"/>
      <c r="N377" s="11"/>
      <c r="O377" s="11"/>
      <c r="P377" s="11"/>
      <c r="Q377" s="11"/>
      <c r="R377" s="11"/>
      <c r="S377" s="11"/>
      <c r="T377" s="11"/>
    </row>
    <row r="378" spans="1:20" s="6" customFormat="1" ht="18" customHeight="1" x14ac:dyDescent="0.2">
      <c r="A378" s="7"/>
      <c r="B378" s="8" t="str">
        <v>School Holidays (December)</v>
      </c>
      <c r="C378" s="64" t="str">
        <v/>
      </c>
      <c r="D378" s="9">
        <v>47460</v>
      </c>
      <c r="E378" s="9">
        <v>47483</v>
      </c>
      <c r="F378" s="10">
        <f t="shared" si="7"/>
        <v>1</v>
      </c>
      <c r="G378" s="11" t="str">
        <v>Reference</v>
      </c>
      <c r="H378" s="11">
        <v>0</v>
      </c>
      <c r="I378" s="11"/>
      <c r="J378" s="11"/>
      <c r="K378" s="11"/>
      <c r="L378" s="11"/>
      <c r="M378" s="11"/>
      <c r="N378" s="11"/>
      <c r="O378" s="11"/>
      <c r="P378" s="11"/>
      <c r="Q378" s="11"/>
      <c r="R378" s="11"/>
      <c r="S378" s="11"/>
      <c r="T378" s="11"/>
    </row>
    <row r="379" spans="1:20" s="6" customFormat="1" ht="18" customHeight="1" x14ac:dyDescent="0.2">
      <c r="A379" s="7"/>
      <c r="B379" s="8" t="str">
        <v>Double Boat Dive (Brisbane)</v>
      </c>
      <c r="C379" s="64" t="str">
        <v/>
      </c>
      <c r="D379" s="9">
        <v>191708</v>
      </c>
      <c r="E379" s="9">
        <v>191708</v>
      </c>
      <c r="F379" s="10">
        <f t="shared" si="7"/>
        <v>1</v>
      </c>
      <c r="G379" s="11" t="str">
        <v>Branch Calendar Event</v>
      </c>
      <c r="H379" s="11">
        <v>0</v>
      </c>
      <c r="I379" s="11"/>
      <c r="J379" s="11"/>
      <c r="K379" s="11"/>
      <c r="L379" s="11"/>
      <c r="M379" s="11"/>
      <c r="N379" s="11"/>
      <c r="O379" s="11"/>
      <c r="P379" s="11"/>
      <c r="Q379" s="11"/>
      <c r="R379" s="11"/>
      <c r="S379" s="11"/>
      <c r="T379" s="11"/>
    </row>
    <row r="380" spans="1:20" s="6" customFormat="1" ht="18" customHeight="1" x14ac:dyDescent="0.2">
      <c r="A380" s="7"/>
      <c r="B380" s="8"/>
      <c r="C380" s="64"/>
      <c r="D380" s="9"/>
      <c r="E380" s="9"/>
      <c r="F380" s="10"/>
      <c r="G380" s="11"/>
      <c r="H380" s="11"/>
      <c r="I380" s="11"/>
      <c r="J380" s="11"/>
      <c r="K380" s="11"/>
      <c r="L380" s="11"/>
      <c r="M380" s="11"/>
      <c r="N380" s="11"/>
      <c r="O380" s="11"/>
      <c r="P380" s="11"/>
      <c r="Q380" s="11"/>
      <c r="R380" s="11"/>
      <c r="S380" s="11"/>
      <c r="T380" s="11"/>
    </row>
    <row r="381" spans="1:20" s="6" customFormat="1" ht="18" customHeight="1" x14ac:dyDescent="0.2">
      <c r="A381" s="7"/>
      <c r="B381" s="8"/>
      <c r="C381" s="64"/>
      <c r="D381" s="9"/>
      <c r="E381" s="9"/>
      <c r="F381" s="10"/>
      <c r="G381" s="11"/>
      <c r="H381" s="11"/>
      <c r="I381" s="11"/>
      <c r="J381" s="11"/>
      <c r="K381" s="11"/>
      <c r="L381" s="11"/>
      <c r="M381" s="11"/>
      <c r="N381" s="11"/>
      <c r="O381" s="11"/>
      <c r="P381" s="11"/>
      <c r="Q381" s="11"/>
      <c r="R381" s="11"/>
      <c r="S381" s="11"/>
      <c r="T381" s="11"/>
    </row>
    <row r="382" spans="1:20" s="6" customFormat="1" ht="18" customHeight="1" x14ac:dyDescent="0.2">
      <c r="A382" s="7"/>
      <c r="B382" s="8"/>
      <c r="C382" s="64"/>
      <c r="D382" s="9"/>
      <c r="E382" s="9"/>
      <c r="F382" s="10"/>
      <c r="G382" s="11"/>
      <c r="H382" s="11"/>
      <c r="I382" s="11"/>
      <c r="J382" s="11"/>
      <c r="K382" s="11"/>
      <c r="L382" s="11"/>
      <c r="M382" s="11"/>
      <c r="N382" s="11"/>
      <c r="O382" s="11"/>
      <c r="P382" s="11"/>
      <c r="Q382" s="11"/>
      <c r="R382" s="11"/>
      <c r="S382" s="11"/>
      <c r="T382" s="11"/>
    </row>
    <row r="383" spans="1:20" s="6" customFormat="1" ht="18" customHeight="1" x14ac:dyDescent="0.2">
      <c r="A383" s="7"/>
      <c r="B383" s="8"/>
      <c r="C383" s="64"/>
      <c r="D383" s="9"/>
      <c r="E383" s="9"/>
      <c r="F383" s="10"/>
      <c r="G383" s="11"/>
      <c r="H383" s="11"/>
      <c r="I383" s="11"/>
      <c r="J383" s="11"/>
      <c r="K383" s="11"/>
      <c r="L383" s="11"/>
      <c r="M383" s="11"/>
      <c r="N383" s="11"/>
      <c r="O383" s="11"/>
      <c r="P383" s="11"/>
      <c r="Q383" s="11"/>
      <c r="R383" s="11"/>
      <c r="S383" s="11"/>
      <c r="T383" s="11"/>
    </row>
    <row r="384" spans="1:20" s="6" customFormat="1" ht="18" customHeight="1" x14ac:dyDescent="0.2">
      <c r="A384" s="7"/>
      <c r="B384" s="8"/>
      <c r="C384" s="64"/>
      <c r="D384" s="9"/>
      <c r="E384" s="9"/>
      <c r="F384" s="10"/>
      <c r="G384" s="11"/>
      <c r="H384" s="11"/>
      <c r="I384" s="11"/>
      <c r="J384" s="11"/>
      <c r="K384" s="11"/>
      <c r="L384" s="11"/>
      <c r="M384" s="11"/>
      <c r="N384" s="11"/>
      <c r="O384" s="11"/>
      <c r="P384" s="11"/>
      <c r="Q384" s="11"/>
      <c r="R384" s="11"/>
      <c r="S384" s="11"/>
      <c r="T384" s="11"/>
    </row>
    <row r="385" spans="1:20" s="6" customFormat="1" ht="18" customHeight="1" x14ac:dyDescent="0.2">
      <c r="A385" s="7"/>
      <c r="B385" s="8"/>
      <c r="C385" s="64"/>
      <c r="D385" s="9"/>
      <c r="E385" s="9"/>
      <c r="F385" s="10"/>
      <c r="G385" s="11"/>
      <c r="H385" s="11"/>
      <c r="I385" s="11"/>
      <c r="J385" s="11"/>
      <c r="K385" s="11"/>
      <c r="L385" s="11"/>
      <c r="M385" s="11"/>
      <c r="N385" s="11"/>
      <c r="O385" s="11"/>
      <c r="P385" s="11"/>
      <c r="Q385" s="11"/>
      <c r="R385" s="11"/>
      <c r="S385" s="11"/>
      <c r="T385" s="11"/>
    </row>
    <row r="386" spans="1:20" s="6" customFormat="1" ht="18" customHeight="1" x14ac:dyDescent="0.2">
      <c r="A386" s="7"/>
      <c r="B386" s="8"/>
      <c r="C386" s="64"/>
      <c r="D386" s="9"/>
      <c r="E386" s="9"/>
      <c r="F386" s="10"/>
      <c r="G386" s="11"/>
      <c r="H386" s="11"/>
      <c r="I386" s="11"/>
      <c r="J386" s="11"/>
      <c r="K386" s="11"/>
      <c r="L386" s="11"/>
      <c r="M386" s="11"/>
      <c r="N386" s="11"/>
      <c r="O386" s="11"/>
      <c r="P386" s="11"/>
      <c r="Q386" s="11"/>
      <c r="R386" s="11"/>
      <c r="S386" s="11"/>
      <c r="T386" s="11"/>
    </row>
    <row r="387" spans="1:20" s="6" customFormat="1" ht="18" customHeight="1" x14ac:dyDescent="0.2">
      <c r="A387" s="7"/>
      <c r="B387" s="8"/>
      <c r="C387" s="64"/>
      <c r="D387" s="9"/>
      <c r="E387" s="9"/>
      <c r="F387" s="10"/>
      <c r="G387" s="11"/>
      <c r="H387" s="11"/>
      <c r="I387" s="11"/>
      <c r="J387" s="11"/>
      <c r="K387" s="11"/>
      <c r="L387" s="11"/>
      <c r="M387" s="11"/>
      <c r="N387" s="11"/>
      <c r="O387" s="11"/>
      <c r="P387" s="11"/>
      <c r="Q387" s="11"/>
      <c r="R387" s="11"/>
      <c r="S387" s="11"/>
      <c r="T387" s="11"/>
    </row>
    <row r="388" spans="1:20" s="6" customFormat="1" ht="18" customHeight="1" x14ac:dyDescent="0.2">
      <c r="A388" s="7"/>
      <c r="B388" s="8"/>
      <c r="C388" s="64"/>
      <c r="D388" s="9"/>
      <c r="E388" s="9"/>
      <c r="F388" s="10"/>
      <c r="G388" s="11"/>
      <c r="H388" s="11"/>
      <c r="I388" s="11"/>
      <c r="J388" s="11"/>
      <c r="K388" s="11"/>
      <c r="L388" s="11"/>
      <c r="M388" s="11"/>
      <c r="N388" s="11"/>
      <c r="O388" s="11"/>
      <c r="P388" s="11"/>
      <c r="Q388" s="11"/>
      <c r="R388" s="11"/>
      <c r="S388" s="11"/>
      <c r="T388" s="11"/>
    </row>
    <row r="389" spans="1:20" s="6" customFormat="1" ht="18" customHeight="1" x14ac:dyDescent="0.2">
      <c r="A389" s="7"/>
      <c r="B389" s="8"/>
      <c r="C389" s="64"/>
      <c r="D389" s="9"/>
      <c r="E389" s="9"/>
      <c r="F389" s="10"/>
      <c r="G389" s="11"/>
      <c r="H389" s="11"/>
      <c r="I389" s="11"/>
      <c r="J389" s="11"/>
      <c r="K389" s="11"/>
      <c r="L389" s="11"/>
      <c r="M389" s="11"/>
      <c r="N389" s="11"/>
      <c r="O389" s="11"/>
      <c r="P389" s="11"/>
      <c r="Q389" s="11"/>
      <c r="R389" s="11"/>
      <c r="S389" s="11"/>
      <c r="T389" s="11"/>
    </row>
    <row r="390" spans="1:20" s="6" customFormat="1" ht="18" customHeight="1" x14ac:dyDescent="0.2">
      <c r="A390" s="7"/>
      <c r="B390" s="8"/>
      <c r="C390" s="64"/>
      <c r="D390" s="9"/>
      <c r="E390" s="9"/>
      <c r="F390" s="10"/>
      <c r="G390" s="11"/>
      <c r="H390" s="11"/>
      <c r="I390" s="11"/>
      <c r="J390" s="11"/>
      <c r="K390" s="11"/>
      <c r="L390" s="11"/>
      <c r="M390" s="11"/>
      <c r="N390" s="11"/>
      <c r="O390" s="11"/>
      <c r="P390" s="11"/>
      <c r="Q390" s="11"/>
      <c r="R390" s="11"/>
      <c r="S390" s="11"/>
      <c r="T390" s="11"/>
    </row>
    <row r="391" spans="1:20" s="6" customFormat="1" ht="18" customHeight="1" x14ac:dyDescent="0.2">
      <c r="A391" s="7"/>
      <c r="B391" s="8"/>
      <c r="C391" s="64"/>
      <c r="D391" s="9"/>
      <c r="E391" s="9"/>
      <c r="F391" s="10"/>
      <c r="G391" s="11"/>
      <c r="H391" s="11"/>
      <c r="I391" s="11"/>
      <c r="J391" s="11"/>
      <c r="K391" s="11"/>
      <c r="L391" s="11"/>
      <c r="M391" s="11"/>
      <c r="N391" s="11"/>
      <c r="O391" s="11"/>
      <c r="P391" s="11"/>
      <c r="Q391" s="11"/>
      <c r="R391" s="11"/>
      <c r="S391" s="11"/>
      <c r="T391" s="11"/>
    </row>
    <row r="392" spans="1:20" s="6" customFormat="1" ht="18" customHeight="1" x14ac:dyDescent="0.2">
      <c r="A392" s="7"/>
      <c r="B392" s="8"/>
      <c r="C392" s="64"/>
      <c r="D392" s="9"/>
      <c r="E392" s="9"/>
      <c r="F392" s="10"/>
      <c r="G392" s="11"/>
      <c r="H392" s="11"/>
      <c r="I392" s="11"/>
      <c r="J392" s="11"/>
      <c r="K392" s="11"/>
      <c r="L392" s="11"/>
      <c r="M392" s="11"/>
      <c r="N392" s="11"/>
      <c r="O392" s="11"/>
      <c r="P392" s="11"/>
      <c r="Q392" s="11"/>
      <c r="R392" s="11"/>
      <c r="S392" s="11"/>
      <c r="T392" s="11"/>
    </row>
    <row r="393" spans="1:20" s="6" customFormat="1" ht="18" customHeight="1" x14ac:dyDescent="0.2">
      <c r="A393" s="7"/>
      <c r="B393" s="8"/>
      <c r="C393" s="64"/>
      <c r="D393" s="9"/>
      <c r="E393" s="9"/>
      <c r="F393" s="10"/>
      <c r="G393" s="11"/>
      <c r="H393" s="11"/>
      <c r="I393" s="11"/>
      <c r="J393" s="11"/>
      <c r="K393" s="11"/>
      <c r="L393" s="11"/>
      <c r="M393" s="11"/>
      <c r="N393" s="11"/>
      <c r="O393" s="11"/>
      <c r="P393" s="11"/>
      <c r="Q393" s="11"/>
      <c r="R393" s="11"/>
      <c r="S393" s="11"/>
      <c r="T393" s="11"/>
    </row>
    <row r="394" spans="1:20" s="6" customFormat="1" ht="18" customHeight="1" x14ac:dyDescent="0.2">
      <c r="A394" s="7"/>
      <c r="B394" s="8"/>
      <c r="C394" s="64"/>
      <c r="D394" s="9"/>
      <c r="E394" s="9"/>
      <c r="F394" s="10"/>
      <c r="G394" s="11"/>
      <c r="H394" s="11"/>
      <c r="I394" s="11"/>
      <c r="J394" s="11"/>
      <c r="K394" s="11"/>
      <c r="L394" s="11"/>
      <c r="M394" s="11"/>
      <c r="N394" s="11"/>
      <c r="O394" s="11"/>
      <c r="P394" s="11"/>
      <c r="Q394" s="11"/>
      <c r="R394" s="11"/>
      <c r="S394" s="11"/>
      <c r="T394" s="11"/>
    </row>
    <row r="395" spans="1:20" s="6" customFormat="1" ht="18" customHeight="1" x14ac:dyDescent="0.2">
      <c r="A395" s="7"/>
      <c r="B395" s="8"/>
      <c r="C395" s="64"/>
      <c r="D395" s="9"/>
      <c r="E395" s="9"/>
      <c r="F395" s="10"/>
      <c r="G395" s="11"/>
      <c r="H395" s="11"/>
      <c r="I395" s="11"/>
      <c r="J395" s="11"/>
      <c r="K395" s="11"/>
      <c r="L395" s="11"/>
      <c r="M395" s="11"/>
      <c r="N395" s="11"/>
      <c r="O395" s="11"/>
      <c r="P395" s="11"/>
      <c r="Q395" s="11"/>
      <c r="R395" s="11"/>
      <c r="S395" s="11"/>
      <c r="T395" s="11"/>
    </row>
    <row r="396" spans="1:20" s="6" customFormat="1" ht="18" customHeight="1" x14ac:dyDescent="0.2">
      <c r="A396" s="7"/>
      <c r="B396" s="8"/>
      <c r="C396" s="64"/>
      <c r="D396" s="9"/>
      <c r="E396" s="9"/>
      <c r="F396" s="10"/>
      <c r="G396" s="11"/>
      <c r="H396" s="11"/>
      <c r="I396" s="11"/>
      <c r="J396" s="11"/>
      <c r="K396" s="11"/>
      <c r="L396" s="11"/>
      <c r="M396" s="11"/>
      <c r="N396" s="11"/>
      <c r="O396" s="11"/>
      <c r="P396" s="11"/>
      <c r="Q396" s="11"/>
      <c r="R396" s="11"/>
      <c r="S396" s="11"/>
      <c r="T396" s="11"/>
    </row>
    <row r="397" spans="1:20" s="6" customFormat="1" ht="18" customHeight="1" x14ac:dyDescent="0.2">
      <c r="A397" s="7"/>
      <c r="B397" s="8"/>
      <c r="C397" s="64"/>
      <c r="D397" s="9"/>
      <c r="E397" s="9"/>
      <c r="F397" s="10"/>
      <c r="G397" s="11"/>
      <c r="H397" s="11"/>
      <c r="I397" s="11"/>
      <c r="J397" s="11"/>
      <c r="K397" s="11"/>
      <c r="L397" s="11"/>
      <c r="M397" s="11"/>
      <c r="N397" s="11"/>
      <c r="O397" s="11"/>
      <c r="P397" s="11"/>
      <c r="Q397" s="11"/>
      <c r="R397" s="11"/>
      <c r="S397" s="11"/>
      <c r="T397" s="11"/>
    </row>
    <row r="398" spans="1:20" s="6" customFormat="1" ht="18" customHeight="1" x14ac:dyDescent="0.2">
      <c r="A398" s="7"/>
      <c r="B398" s="8"/>
      <c r="C398" s="64"/>
      <c r="D398" s="9"/>
      <c r="E398" s="9"/>
      <c r="F398" s="10"/>
      <c r="G398" s="11"/>
      <c r="H398" s="11"/>
      <c r="I398" s="11"/>
      <c r="J398" s="11"/>
      <c r="K398" s="11"/>
      <c r="L398" s="11"/>
      <c r="M398" s="11"/>
      <c r="N398" s="11"/>
      <c r="O398" s="11"/>
      <c r="P398" s="11"/>
      <c r="Q398" s="11"/>
      <c r="R398" s="11"/>
      <c r="S398" s="11"/>
      <c r="T398" s="11"/>
    </row>
    <row r="399" spans="1:20" s="6" customFormat="1" ht="18" customHeight="1" x14ac:dyDescent="0.2">
      <c r="A399" s="7"/>
      <c r="B399" s="8"/>
      <c r="C399" s="64"/>
      <c r="D399" s="9"/>
      <c r="E399" s="9"/>
      <c r="F399" s="10"/>
      <c r="G399" s="11"/>
      <c r="H399" s="11"/>
      <c r="I399" s="11"/>
      <c r="J399" s="11"/>
      <c r="K399" s="11"/>
      <c r="L399" s="11"/>
      <c r="M399" s="11"/>
      <c r="N399" s="11"/>
      <c r="O399" s="11"/>
      <c r="P399" s="11"/>
      <c r="Q399" s="11"/>
      <c r="R399" s="11"/>
      <c r="S399" s="11"/>
      <c r="T399" s="11"/>
    </row>
    <row r="400" spans="1:20" s="6" customFormat="1" ht="18" customHeight="1" x14ac:dyDescent="0.2">
      <c r="A400" s="7"/>
      <c r="B400" s="8"/>
      <c r="C400" s="64"/>
      <c r="D400" s="9"/>
      <c r="E400" s="9"/>
      <c r="F400" s="10"/>
      <c r="G400" s="11"/>
      <c r="H400" s="11"/>
      <c r="I400" s="11"/>
      <c r="J400" s="11"/>
      <c r="K400" s="11"/>
      <c r="L400" s="11"/>
      <c r="M400" s="11"/>
      <c r="N400" s="11"/>
      <c r="O400" s="11"/>
      <c r="P400" s="11"/>
      <c r="Q400" s="11"/>
      <c r="R400" s="11"/>
      <c r="S400" s="11"/>
      <c r="T400" s="11"/>
    </row>
    <row r="401" spans="1:20" s="6" customFormat="1" ht="18" customHeight="1" x14ac:dyDescent="0.2">
      <c r="A401" s="7"/>
      <c r="B401" s="8"/>
      <c r="C401" s="64"/>
      <c r="D401" s="9"/>
      <c r="E401" s="9"/>
      <c r="F401" s="10"/>
      <c r="G401" s="11"/>
      <c r="H401" s="11"/>
      <c r="I401" s="11"/>
      <c r="J401" s="11"/>
      <c r="K401" s="11"/>
      <c r="L401" s="11"/>
      <c r="M401" s="11"/>
      <c r="N401" s="11"/>
      <c r="O401" s="11"/>
      <c r="P401" s="11"/>
      <c r="Q401" s="11"/>
      <c r="R401" s="11"/>
      <c r="S401" s="11"/>
      <c r="T401" s="11"/>
    </row>
    <row r="402" spans="1:20" s="6" customFormat="1" ht="18" customHeight="1" x14ac:dyDescent="0.2">
      <c r="A402" s="7"/>
      <c r="B402" s="8"/>
      <c r="C402" s="64"/>
      <c r="D402" s="9"/>
      <c r="E402" s="9"/>
      <c r="F402" s="10"/>
      <c r="G402" s="11"/>
      <c r="H402" s="11"/>
      <c r="I402" s="11"/>
      <c r="J402" s="11"/>
      <c r="K402" s="11"/>
      <c r="L402" s="11"/>
      <c r="M402" s="11"/>
      <c r="N402" s="11"/>
      <c r="O402" s="11"/>
      <c r="P402" s="11"/>
      <c r="Q402" s="11"/>
      <c r="R402" s="11"/>
      <c r="S402" s="11"/>
      <c r="T402" s="11"/>
    </row>
    <row r="403" spans="1:20" s="6" customFormat="1" ht="18" customHeight="1" x14ac:dyDescent="0.2">
      <c r="A403" s="7"/>
      <c r="B403" s="8"/>
      <c r="C403" s="64"/>
      <c r="D403" s="9"/>
      <c r="E403" s="9"/>
      <c r="F403" s="10"/>
      <c r="G403" s="11"/>
      <c r="H403" s="11"/>
      <c r="I403" s="11"/>
      <c r="J403" s="11"/>
      <c r="K403" s="11"/>
      <c r="L403" s="11"/>
      <c r="M403" s="11"/>
      <c r="N403" s="11"/>
      <c r="O403" s="11"/>
      <c r="P403" s="11"/>
      <c r="Q403" s="11"/>
      <c r="R403" s="11"/>
      <c r="S403" s="11"/>
      <c r="T403" s="11"/>
    </row>
    <row r="404" spans="1:20" s="6" customFormat="1" ht="18" customHeight="1" x14ac:dyDescent="0.2">
      <c r="A404" s="7"/>
      <c r="B404" s="8"/>
      <c r="C404" s="64"/>
      <c r="D404" s="9"/>
      <c r="E404" s="9"/>
      <c r="F404" s="10"/>
      <c r="G404" s="11"/>
      <c r="H404" s="11"/>
      <c r="I404" s="11"/>
      <c r="J404" s="11"/>
      <c r="K404" s="11"/>
      <c r="L404" s="11"/>
      <c r="M404" s="11"/>
      <c r="N404" s="11"/>
      <c r="O404" s="11"/>
      <c r="P404" s="11"/>
      <c r="Q404" s="11"/>
      <c r="R404" s="11"/>
      <c r="S404" s="11"/>
      <c r="T404" s="11"/>
    </row>
    <row r="405" spans="1:20" s="6" customFormat="1" ht="18" customHeight="1" x14ac:dyDescent="0.2">
      <c r="A405" s="7"/>
      <c r="B405" s="8"/>
      <c r="C405" s="64"/>
      <c r="D405" s="9"/>
      <c r="E405" s="9"/>
      <c r="F405" s="10"/>
      <c r="G405" s="11"/>
      <c r="H405" s="11"/>
      <c r="I405" s="11"/>
      <c r="J405" s="11"/>
      <c r="K405" s="11"/>
      <c r="L405" s="11"/>
      <c r="M405" s="11"/>
      <c r="N405" s="11"/>
      <c r="O405" s="11"/>
      <c r="P405" s="11"/>
      <c r="Q405" s="11"/>
      <c r="R405" s="11"/>
      <c r="S405" s="11"/>
      <c r="T405" s="11"/>
    </row>
    <row r="406" spans="1:20" s="6" customFormat="1" ht="18" customHeight="1" x14ac:dyDescent="0.2">
      <c r="A406" s="7"/>
      <c r="B406" s="8"/>
      <c r="C406" s="64"/>
      <c r="D406" s="9"/>
      <c r="E406" s="9"/>
      <c r="F406" s="10"/>
      <c r="G406" s="11"/>
      <c r="H406" s="11"/>
      <c r="I406" s="11"/>
      <c r="J406" s="11"/>
      <c r="K406" s="11"/>
      <c r="L406" s="11"/>
      <c r="M406" s="11"/>
      <c r="N406" s="11"/>
      <c r="O406" s="11"/>
      <c r="P406" s="11"/>
      <c r="Q406" s="11"/>
      <c r="R406" s="11"/>
      <c r="S406" s="11"/>
      <c r="T406" s="11"/>
    </row>
    <row r="407" spans="1:20" s="6" customFormat="1" ht="18" customHeight="1" x14ac:dyDescent="0.2">
      <c r="A407" s="7"/>
      <c r="B407" s="8"/>
      <c r="C407" s="64"/>
      <c r="D407" s="9"/>
      <c r="E407" s="9"/>
      <c r="F407" s="10"/>
      <c r="G407" s="11"/>
      <c r="H407" s="11"/>
      <c r="I407" s="11"/>
      <c r="J407" s="11"/>
      <c r="K407" s="11"/>
      <c r="L407" s="11"/>
      <c r="M407" s="11"/>
      <c r="N407" s="11"/>
      <c r="O407" s="11"/>
      <c r="P407" s="11"/>
      <c r="Q407" s="11"/>
      <c r="R407" s="11"/>
      <c r="S407" s="11"/>
      <c r="T407" s="11"/>
    </row>
    <row r="408" spans="1:20" s="6" customFormat="1" ht="18" customHeight="1" x14ac:dyDescent="0.2">
      <c r="A408" s="7"/>
      <c r="B408" s="8"/>
      <c r="C408" s="64"/>
      <c r="D408" s="9"/>
      <c r="E408" s="9"/>
      <c r="F408" s="10"/>
      <c r="G408" s="11"/>
      <c r="H408" s="11"/>
      <c r="I408" s="11"/>
      <c r="J408" s="11"/>
      <c r="K408" s="11"/>
      <c r="L408" s="11"/>
      <c r="M408" s="11"/>
      <c r="N408" s="11"/>
      <c r="O408" s="11"/>
      <c r="P408" s="11"/>
      <c r="Q408" s="11"/>
      <c r="R408" s="11"/>
      <c r="S408" s="11"/>
      <c r="T408" s="11"/>
    </row>
    <row r="409" spans="1:20" s="6" customFormat="1" ht="18" customHeight="1" x14ac:dyDescent="0.2">
      <c r="A409" s="7"/>
      <c r="B409" s="8"/>
      <c r="C409" s="64"/>
      <c r="D409" s="9"/>
      <c r="E409" s="9"/>
      <c r="F409" s="10"/>
      <c r="G409" s="11"/>
      <c r="H409" s="11"/>
      <c r="I409" s="11"/>
      <c r="J409" s="11"/>
      <c r="K409" s="11"/>
      <c r="L409" s="11"/>
      <c r="M409" s="11"/>
      <c r="N409" s="11"/>
      <c r="O409" s="11"/>
      <c r="P409" s="11"/>
      <c r="Q409" s="11"/>
      <c r="R409" s="11"/>
      <c r="S409" s="11"/>
      <c r="T409" s="11"/>
    </row>
    <row r="410" spans="1:20" s="6" customFormat="1" ht="18" customHeight="1" x14ac:dyDescent="0.2">
      <c r="A410" s="7"/>
      <c r="B410" s="8"/>
      <c r="C410" s="64"/>
      <c r="D410" s="9"/>
      <c r="E410" s="9"/>
      <c r="F410" s="10"/>
      <c r="G410" s="11"/>
      <c r="H410" s="11"/>
      <c r="I410" s="11"/>
      <c r="J410" s="11"/>
      <c r="K410" s="11"/>
      <c r="L410" s="11"/>
      <c r="M410" s="11"/>
      <c r="N410" s="11"/>
      <c r="O410" s="11"/>
      <c r="P410" s="11"/>
      <c r="Q410" s="11"/>
      <c r="R410" s="11"/>
      <c r="S410" s="11"/>
      <c r="T410" s="11"/>
    </row>
    <row r="411" spans="1:20" s="6" customFormat="1" ht="18" customHeight="1" x14ac:dyDescent="0.2">
      <c r="A411" s="7"/>
      <c r="B411" s="8"/>
      <c r="C411" s="64"/>
      <c r="D411" s="9"/>
      <c r="E411" s="9"/>
      <c r="F411" s="10"/>
      <c r="G411" s="11"/>
      <c r="H411" s="11"/>
      <c r="I411" s="11"/>
      <c r="J411" s="11"/>
      <c r="K411" s="11"/>
      <c r="L411" s="11"/>
      <c r="M411" s="11"/>
      <c r="N411" s="11"/>
      <c r="O411" s="11"/>
      <c r="P411" s="11"/>
      <c r="Q411" s="11"/>
      <c r="R411" s="11"/>
      <c r="S411" s="11"/>
      <c r="T411" s="11"/>
    </row>
    <row r="412" spans="1:20" s="6" customFormat="1" ht="18" customHeight="1" x14ac:dyDescent="0.2">
      <c r="A412" s="7"/>
      <c r="B412" s="8"/>
      <c r="C412" s="64"/>
      <c r="D412" s="9"/>
      <c r="E412" s="9"/>
      <c r="F412" s="10"/>
      <c r="G412" s="11"/>
      <c r="H412" s="11"/>
      <c r="I412" s="11"/>
      <c r="J412" s="11"/>
      <c r="K412" s="11"/>
      <c r="L412" s="11"/>
      <c r="M412" s="11"/>
      <c r="N412" s="11"/>
      <c r="O412" s="11"/>
      <c r="P412" s="11"/>
      <c r="Q412" s="11"/>
      <c r="R412" s="11"/>
      <c r="S412" s="11"/>
      <c r="T412" s="11"/>
    </row>
    <row r="413" spans="1:20" s="6" customFormat="1" ht="18" customHeight="1" x14ac:dyDescent="0.2">
      <c r="A413" s="7"/>
      <c r="B413" s="8"/>
      <c r="C413" s="64"/>
      <c r="D413" s="9"/>
      <c r="E413" s="9"/>
      <c r="F413" s="10"/>
      <c r="G413" s="11"/>
      <c r="H413" s="11"/>
      <c r="I413" s="11"/>
      <c r="J413" s="11"/>
      <c r="K413" s="11"/>
      <c r="L413" s="11"/>
      <c r="M413" s="11"/>
      <c r="N413" s="11"/>
      <c r="O413" s="11"/>
      <c r="P413" s="11"/>
      <c r="Q413" s="11"/>
      <c r="R413" s="11"/>
      <c r="S413" s="11"/>
      <c r="T413" s="11"/>
    </row>
    <row r="414" spans="1:20" s="6" customFormat="1" ht="18" customHeight="1" x14ac:dyDescent="0.2">
      <c r="A414" s="7"/>
      <c r="B414" s="8"/>
      <c r="C414" s="64"/>
      <c r="D414" s="9"/>
      <c r="E414" s="9"/>
      <c r="F414" s="10"/>
      <c r="G414" s="11"/>
      <c r="H414" s="11"/>
      <c r="I414" s="11"/>
      <c r="J414" s="11"/>
      <c r="K414" s="11"/>
      <c r="L414" s="11"/>
      <c r="M414" s="11"/>
      <c r="N414" s="11"/>
      <c r="O414" s="11"/>
      <c r="P414" s="11"/>
      <c r="Q414" s="11"/>
      <c r="R414" s="11"/>
      <c r="S414" s="11"/>
      <c r="T414" s="11"/>
    </row>
    <row r="415" spans="1:20" s="6" customFormat="1" ht="18" customHeight="1" x14ac:dyDescent="0.2">
      <c r="A415" s="7"/>
      <c r="B415" s="8"/>
      <c r="C415" s="64"/>
      <c r="D415" s="9"/>
      <c r="E415" s="9"/>
      <c r="F415" s="10"/>
      <c r="G415" s="11"/>
      <c r="H415" s="11"/>
      <c r="I415" s="11"/>
      <c r="J415" s="11"/>
      <c r="K415" s="11"/>
      <c r="L415" s="11"/>
      <c r="M415" s="11"/>
      <c r="N415" s="11"/>
      <c r="O415" s="11"/>
      <c r="P415" s="11"/>
      <c r="Q415" s="11"/>
      <c r="R415" s="11"/>
      <c r="S415" s="11"/>
      <c r="T415" s="11"/>
    </row>
    <row r="416" spans="1:20" s="6" customFormat="1" ht="18" customHeight="1" x14ac:dyDescent="0.2">
      <c r="A416" s="7"/>
      <c r="B416" s="8"/>
      <c r="C416" s="64"/>
      <c r="D416" s="9"/>
      <c r="E416" s="9"/>
      <c r="F416" s="10"/>
      <c r="G416" s="11"/>
      <c r="H416" s="11"/>
      <c r="I416" s="11"/>
      <c r="J416" s="11"/>
      <c r="K416" s="11"/>
      <c r="L416" s="11"/>
      <c r="M416" s="11"/>
      <c r="N416" s="11"/>
      <c r="O416" s="11"/>
      <c r="P416" s="11"/>
      <c r="Q416" s="11"/>
      <c r="R416" s="11"/>
      <c r="S416" s="11"/>
      <c r="T416" s="11"/>
    </row>
    <row r="417" spans="1:20" s="6" customFormat="1" ht="18" customHeight="1" x14ac:dyDescent="0.2">
      <c r="A417" s="7"/>
      <c r="B417" s="8"/>
      <c r="C417" s="64"/>
      <c r="D417" s="9"/>
      <c r="E417" s="9"/>
      <c r="F417" s="10"/>
      <c r="G417" s="11"/>
      <c r="H417" s="11"/>
      <c r="I417" s="11"/>
      <c r="J417" s="11"/>
      <c r="K417" s="11"/>
      <c r="L417" s="11"/>
      <c r="M417" s="11"/>
      <c r="N417" s="11"/>
      <c r="O417" s="11"/>
      <c r="P417" s="11"/>
      <c r="Q417" s="11"/>
      <c r="R417" s="11"/>
      <c r="S417" s="11"/>
      <c r="T417" s="11"/>
    </row>
    <row r="418" spans="1:20" s="6" customFormat="1" ht="18" customHeight="1" x14ac:dyDescent="0.2">
      <c r="A418" s="7"/>
      <c r="B418" s="8"/>
      <c r="C418" s="64"/>
      <c r="D418" s="9"/>
      <c r="E418" s="9"/>
      <c r="F418" s="10"/>
      <c r="G418" s="11"/>
      <c r="H418" s="11"/>
      <c r="I418" s="11"/>
      <c r="J418" s="11"/>
      <c r="K418" s="11"/>
      <c r="L418" s="11"/>
      <c r="M418" s="11"/>
      <c r="N418" s="11"/>
      <c r="O418" s="11"/>
      <c r="P418" s="11"/>
      <c r="Q418" s="11"/>
      <c r="R418" s="11"/>
      <c r="S418" s="11"/>
      <c r="T418" s="11"/>
    </row>
    <row r="419" spans="1:20" s="6" customFormat="1" ht="18" customHeight="1" x14ac:dyDescent="0.2">
      <c r="A419" s="7"/>
      <c r="B419" s="8"/>
      <c r="C419" s="64"/>
      <c r="D419" s="9"/>
      <c r="E419" s="9"/>
      <c r="F419" s="10"/>
      <c r="G419" s="11"/>
      <c r="H419" s="11"/>
      <c r="I419" s="11"/>
      <c r="J419" s="11"/>
      <c r="K419" s="11"/>
      <c r="L419" s="11"/>
      <c r="M419" s="11"/>
      <c r="N419" s="11"/>
      <c r="O419" s="11"/>
      <c r="P419" s="11"/>
      <c r="Q419" s="11"/>
      <c r="R419" s="11"/>
      <c r="S419" s="11"/>
      <c r="T419" s="11"/>
    </row>
    <row r="420" spans="1:20" s="6" customFormat="1" ht="18" customHeight="1" x14ac:dyDescent="0.2">
      <c r="A420" s="7"/>
      <c r="B420" s="8"/>
      <c r="C420" s="64"/>
      <c r="D420" s="9"/>
      <c r="E420" s="9"/>
      <c r="F420" s="10"/>
      <c r="G420" s="11"/>
      <c r="H420" s="11"/>
      <c r="I420" s="11"/>
      <c r="J420" s="11"/>
      <c r="K420" s="11"/>
      <c r="L420" s="11"/>
      <c r="M420" s="11"/>
      <c r="N420" s="11"/>
      <c r="O420" s="11"/>
      <c r="P420" s="11"/>
      <c r="Q420" s="11"/>
      <c r="R420" s="11"/>
      <c r="S420" s="11"/>
      <c r="T420" s="11"/>
    </row>
    <row r="421" spans="1:20" s="6" customFormat="1" ht="18" customHeight="1" x14ac:dyDescent="0.2">
      <c r="A421" s="7"/>
      <c r="B421" s="8"/>
      <c r="C421" s="64"/>
      <c r="D421" s="9"/>
      <c r="E421" s="9"/>
      <c r="F421" s="10"/>
      <c r="G421" s="11"/>
      <c r="H421" s="11"/>
      <c r="I421" s="11"/>
      <c r="J421" s="11"/>
      <c r="K421" s="11"/>
      <c r="L421" s="11"/>
      <c r="M421" s="11"/>
      <c r="N421" s="11"/>
      <c r="O421" s="11"/>
      <c r="P421" s="11"/>
      <c r="Q421" s="11"/>
      <c r="R421" s="11"/>
      <c r="S421" s="11"/>
      <c r="T421" s="11"/>
    </row>
    <row r="422" spans="1:20" s="6" customFormat="1" ht="18" customHeight="1" x14ac:dyDescent="0.2">
      <c r="A422" s="7"/>
      <c r="B422" s="8"/>
      <c r="C422" s="64"/>
      <c r="D422" s="9"/>
      <c r="E422" s="9"/>
      <c r="F422" s="10"/>
      <c r="G422" s="11"/>
      <c r="H422" s="11"/>
      <c r="I422" s="11"/>
      <c r="J422" s="11"/>
      <c r="K422" s="11"/>
      <c r="L422" s="11"/>
      <c r="M422" s="11"/>
      <c r="N422" s="11"/>
      <c r="O422" s="11"/>
      <c r="P422" s="11"/>
      <c r="Q422" s="11"/>
      <c r="R422" s="11"/>
      <c r="S422" s="11"/>
      <c r="T422" s="11"/>
    </row>
    <row r="423" spans="1:20" s="6" customFormat="1" ht="18" customHeight="1" x14ac:dyDescent="0.2">
      <c r="A423" s="7"/>
      <c r="B423" s="8"/>
      <c r="C423" s="64"/>
      <c r="D423" s="9"/>
      <c r="E423" s="9"/>
      <c r="F423" s="10"/>
      <c r="G423" s="11"/>
      <c r="H423" s="11"/>
      <c r="I423" s="11"/>
      <c r="J423" s="11"/>
      <c r="K423" s="11"/>
      <c r="L423" s="11"/>
      <c r="M423" s="11"/>
      <c r="N423" s="11"/>
      <c r="O423" s="11"/>
      <c r="P423" s="11"/>
      <c r="Q423" s="11"/>
      <c r="R423" s="11"/>
      <c r="S423" s="11"/>
      <c r="T423" s="11"/>
    </row>
    <row r="424" spans="1:20" s="6" customFormat="1" ht="18" customHeight="1" x14ac:dyDescent="0.2">
      <c r="A424" s="7"/>
      <c r="B424" s="8"/>
      <c r="C424" s="64"/>
      <c r="D424" s="9"/>
      <c r="E424" s="9"/>
      <c r="F424" s="10"/>
      <c r="G424" s="11"/>
      <c r="H424" s="11"/>
      <c r="I424" s="11"/>
      <c r="J424" s="11"/>
      <c r="K424" s="11"/>
      <c r="L424" s="11"/>
      <c r="M424" s="11"/>
      <c r="N424" s="11"/>
      <c r="O424" s="11"/>
      <c r="P424" s="11"/>
      <c r="Q424" s="11"/>
      <c r="R424" s="11"/>
      <c r="S424" s="11"/>
      <c r="T424" s="11"/>
    </row>
    <row r="425" spans="1:20" s="6" customFormat="1" ht="18" customHeight="1" x14ac:dyDescent="0.2">
      <c r="A425" s="7"/>
      <c r="B425" s="8"/>
      <c r="C425" s="64"/>
      <c r="D425" s="9"/>
      <c r="E425" s="9"/>
      <c r="F425" s="10"/>
      <c r="G425" s="11"/>
      <c r="H425" s="11"/>
      <c r="I425" s="11"/>
      <c r="J425" s="11"/>
      <c r="K425" s="11"/>
      <c r="L425" s="11"/>
      <c r="M425" s="11"/>
      <c r="N425" s="11"/>
      <c r="O425" s="11"/>
      <c r="P425" s="11"/>
      <c r="Q425" s="11"/>
      <c r="R425" s="11"/>
      <c r="S425" s="11"/>
      <c r="T425" s="11"/>
    </row>
    <row r="426" spans="1:20" s="6" customFormat="1" ht="18" customHeight="1" x14ac:dyDescent="0.2">
      <c r="A426" s="7"/>
      <c r="B426" s="8"/>
      <c r="C426" s="64"/>
      <c r="D426" s="9"/>
      <c r="E426" s="9"/>
      <c r="F426" s="10"/>
      <c r="G426" s="11"/>
      <c r="H426" s="11"/>
      <c r="I426" s="11"/>
      <c r="J426" s="11"/>
      <c r="K426" s="11"/>
      <c r="L426" s="11"/>
      <c r="M426" s="11"/>
      <c r="N426" s="11"/>
      <c r="O426" s="11"/>
      <c r="P426" s="11"/>
      <c r="Q426" s="11"/>
      <c r="R426" s="11"/>
      <c r="S426" s="11"/>
      <c r="T426" s="11"/>
    </row>
    <row r="427" spans="1:20" s="6" customFormat="1" ht="18" customHeight="1" x14ac:dyDescent="0.2">
      <c r="A427" s="7"/>
      <c r="B427" s="8"/>
      <c r="C427" s="64"/>
      <c r="D427" s="9"/>
      <c r="E427" s="9"/>
      <c r="F427" s="10"/>
      <c r="G427" s="11"/>
      <c r="H427" s="11"/>
      <c r="I427" s="11"/>
      <c r="J427" s="11"/>
      <c r="K427" s="11"/>
      <c r="L427" s="11"/>
      <c r="M427" s="11"/>
      <c r="N427" s="11"/>
      <c r="O427" s="11"/>
      <c r="P427" s="11"/>
      <c r="Q427" s="11"/>
      <c r="R427" s="11"/>
      <c r="S427" s="11"/>
      <c r="T427" s="11"/>
    </row>
    <row r="428" spans="1:20" s="6" customFormat="1" ht="18" customHeight="1" x14ac:dyDescent="0.2">
      <c r="A428" s="7"/>
      <c r="B428" s="8"/>
      <c r="C428" s="64"/>
      <c r="D428" s="9"/>
      <c r="E428" s="9"/>
      <c r="F428" s="10"/>
      <c r="G428" s="11"/>
      <c r="H428" s="11"/>
      <c r="I428" s="11"/>
      <c r="J428" s="11"/>
      <c r="K428" s="11"/>
      <c r="L428" s="11"/>
      <c r="M428" s="11"/>
      <c r="N428" s="11"/>
      <c r="O428" s="11"/>
      <c r="P428" s="11"/>
      <c r="Q428" s="11"/>
      <c r="R428" s="11"/>
      <c r="S428" s="11"/>
      <c r="T428" s="11"/>
    </row>
    <row r="429" spans="1:20" s="6" customFormat="1" ht="18" customHeight="1" x14ac:dyDescent="0.2">
      <c r="A429" s="7"/>
      <c r="B429" s="8"/>
      <c r="C429" s="64"/>
      <c r="D429" s="9"/>
      <c r="E429" s="9"/>
      <c r="F429" s="10"/>
      <c r="G429" s="11"/>
      <c r="H429" s="11"/>
      <c r="I429" s="11"/>
      <c r="J429" s="11"/>
      <c r="K429" s="11"/>
      <c r="L429" s="11"/>
      <c r="M429" s="11"/>
      <c r="N429" s="11"/>
      <c r="O429" s="11"/>
      <c r="P429" s="11"/>
      <c r="Q429" s="11"/>
      <c r="R429" s="11"/>
      <c r="S429" s="11"/>
      <c r="T429" s="11"/>
    </row>
    <row r="430" spans="1:20" s="6" customFormat="1" ht="18" customHeight="1" x14ac:dyDescent="0.2">
      <c r="A430" s="7"/>
      <c r="B430" s="8"/>
      <c r="C430" s="64"/>
      <c r="D430" s="9"/>
      <c r="E430" s="9"/>
      <c r="F430" s="10"/>
      <c r="G430" s="11"/>
      <c r="H430" s="11"/>
      <c r="I430" s="11"/>
      <c r="J430" s="11"/>
      <c r="K430" s="11"/>
      <c r="L430" s="11"/>
      <c r="M430" s="11"/>
      <c r="N430" s="11"/>
      <c r="O430" s="11"/>
      <c r="P430" s="11"/>
      <c r="Q430" s="11"/>
      <c r="R430" s="11"/>
      <c r="S430" s="11"/>
      <c r="T430" s="11"/>
    </row>
    <row r="431" spans="1:20" s="6" customFormat="1" ht="18" customHeight="1" x14ac:dyDescent="0.2">
      <c r="A431" s="7"/>
      <c r="B431" s="8"/>
      <c r="C431" s="64"/>
      <c r="D431" s="9"/>
      <c r="E431" s="9"/>
      <c r="F431" s="10"/>
      <c r="G431" s="11"/>
      <c r="H431" s="11"/>
      <c r="I431" s="11"/>
      <c r="J431" s="11"/>
      <c r="K431" s="11"/>
      <c r="L431" s="11"/>
      <c r="M431" s="11"/>
      <c r="N431" s="11"/>
      <c r="O431" s="11"/>
      <c r="P431" s="11"/>
      <c r="Q431" s="11"/>
      <c r="R431" s="11"/>
      <c r="S431" s="11"/>
      <c r="T431" s="11"/>
    </row>
    <row r="432" spans="1:20" s="6" customFormat="1" ht="18" customHeight="1" x14ac:dyDescent="0.2">
      <c r="A432" s="7"/>
      <c r="B432" s="8"/>
      <c r="C432" s="64"/>
      <c r="D432" s="9"/>
      <c r="E432" s="9"/>
      <c r="F432" s="10"/>
      <c r="G432" s="11"/>
      <c r="H432" s="11"/>
      <c r="I432" s="11"/>
      <c r="J432" s="11"/>
      <c r="K432" s="11"/>
      <c r="L432" s="11"/>
      <c r="M432" s="11"/>
      <c r="N432" s="11"/>
      <c r="O432" s="11"/>
      <c r="P432" s="11"/>
      <c r="Q432" s="11"/>
      <c r="R432" s="11"/>
      <c r="S432" s="11"/>
      <c r="T432" s="11"/>
    </row>
    <row r="433" spans="1:20" s="6" customFormat="1" ht="18" customHeight="1" x14ac:dyDescent="0.2">
      <c r="A433" s="7"/>
      <c r="B433" s="8"/>
      <c r="C433" s="64"/>
      <c r="D433" s="9"/>
      <c r="E433" s="9"/>
      <c r="F433" s="10"/>
      <c r="G433" s="11"/>
      <c r="H433" s="11"/>
      <c r="I433" s="11"/>
      <c r="J433" s="11"/>
      <c r="K433" s="11"/>
      <c r="L433" s="11"/>
      <c r="M433" s="11"/>
      <c r="N433" s="11"/>
      <c r="O433" s="11"/>
      <c r="P433" s="11"/>
      <c r="Q433" s="11"/>
      <c r="R433" s="11"/>
      <c r="S433" s="11"/>
      <c r="T433" s="11"/>
    </row>
    <row r="434" spans="1:20" s="6" customFormat="1" ht="18" customHeight="1" x14ac:dyDescent="0.2">
      <c r="A434" s="7"/>
      <c r="B434" s="8"/>
      <c r="C434" s="64"/>
      <c r="D434" s="9"/>
      <c r="E434" s="9"/>
      <c r="F434" s="10"/>
      <c r="G434" s="11"/>
      <c r="H434" s="11"/>
      <c r="I434" s="11"/>
      <c r="J434" s="11"/>
      <c r="K434" s="11"/>
      <c r="L434" s="11"/>
      <c r="M434" s="11"/>
      <c r="N434" s="11"/>
      <c r="O434" s="11"/>
      <c r="P434" s="11"/>
      <c r="Q434" s="11"/>
      <c r="R434" s="11"/>
      <c r="S434" s="11"/>
      <c r="T434" s="11"/>
    </row>
    <row r="435" spans="1:20" s="6" customFormat="1" ht="18" customHeight="1" x14ac:dyDescent="0.2">
      <c r="A435" s="7"/>
      <c r="B435" s="8"/>
      <c r="C435" s="64"/>
      <c r="D435" s="9"/>
      <c r="E435" s="9"/>
      <c r="F435" s="10"/>
      <c r="G435" s="11"/>
      <c r="H435" s="11"/>
      <c r="I435" s="11"/>
      <c r="J435" s="11"/>
      <c r="K435" s="11"/>
      <c r="L435" s="11"/>
      <c r="M435" s="11"/>
      <c r="N435" s="11"/>
      <c r="O435" s="11"/>
      <c r="P435" s="11"/>
      <c r="Q435" s="11"/>
      <c r="R435" s="11"/>
      <c r="S435" s="11"/>
      <c r="T435" s="11"/>
    </row>
    <row r="436" spans="1:20" s="6" customFormat="1" ht="18" customHeight="1" x14ac:dyDescent="0.2">
      <c r="A436" s="7"/>
      <c r="B436" s="8"/>
      <c r="C436" s="64"/>
      <c r="D436" s="9"/>
      <c r="E436" s="9"/>
      <c r="F436" s="10"/>
      <c r="G436" s="11"/>
      <c r="H436" s="11"/>
      <c r="I436" s="11"/>
      <c r="J436" s="11"/>
      <c r="K436" s="11"/>
      <c r="L436" s="11"/>
      <c r="M436" s="11"/>
      <c r="N436" s="11"/>
      <c r="O436" s="11"/>
      <c r="P436" s="11"/>
      <c r="Q436" s="11"/>
      <c r="R436" s="11"/>
      <c r="S436" s="11"/>
      <c r="T436" s="11"/>
    </row>
    <row r="437" spans="1:20" s="6" customFormat="1" ht="18" customHeight="1" x14ac:dyDescent="0.2">
      <c r="A437" s="7"/>
      <c r="B437" s="8"/>
      <c r="C437" s="64"/>
      <c r="D437" s="9"/>
      <c r="E437" s="9"/>
      <c r="F437" s="10"/>
      <c r="G437" s="11"/>
      <c r="H437" s="11"/>
      <c r="I437" s="11"/>
      <c r="J437" s="11"/>
      <c r="K437" s="11"/>
      <c r="L437" s="11"/>
      <c r="M437" s="11"/>
      <c r="N437" s="11"/>
      <c r="O437" s="11"/>
      <c r="P437" s="11"/>
      <c r="Q437" s="11"/>
      <c r="R437" s="11"/>
      <c r="S437" s="11"/>
      <c r="T437" s="11"/>
    </row>
    <row r="438" spans="1:20" s="6" customFormat="1" ht="18" customHeight="1" x14ac:dyDescent="0.2">
      <c r="A438" s="7"/>
      <c r="B438" s="8"/>
      <c r="C438" s="64"/>
      <c r="D438" s="9"/>
      <c r="E438" s="9"/>
      <c r="F438" s="10"/>
      <c r="G438" s="11"/>
      <c r="H438" s="11"/>
      <c r="I438" s="11"/>
      <c r="J438" s="11"/>
      <c r="K438" s="11"/>
      <c r="L438" s="11"/>
      <c r="M438" s="11"/>
      <c r="N438" s="11"/>
      <c r="O438" s="11"/>
      <c r="P438" s="11"/>
      <c r="Q438" s="11"/>
      <c r="R438" s="11"/>
      <c r="S438" s="11"/>
      <c r="T438" s="11"/>
    </row>
    <row r="439" spans="1:20" s="6" customFormat="1" ht="18" customHeight="1" x14ac:dyDescent="0.2">
      <c r="A439" s="7"/>
      <c r="B439" s="8"/>
      <c r="C439" s="64"/>
      <c r="D439" s="9"/>
      <c r="E439" s="9"/>
      <c r="F439" s="10"/>
      <c r="G439" s="11"/>
      <c r="H439" s="11"/>
      <c r="I439" s="11"/>
      <c r="J439" s="11"/>
      <c r="K439" s="11"/>
      <c r="L439" s="11"/>
      <c r="M439" s="11"/>
      <c r="N439" s="11"/>
      <c r="O439" s="11"/>
      <c r="P439" s="11"/>
      <c r="Q439" s="11"/>
      <c r="R439" s="11"/>
      <c r="S439" s="11"/>
      <c r="T439" s="11"/>
    </row>
    <row r="440" spans="1:20" s="6" customFormat="1" ht="18" customHeight="1" x14ac:dyDescent="0.2">
      <c r="A440" s="7"/>
      <c r="B440" s="8"/>
      <c r="C440" s="64"/>
      <c r="D440" s="9"/>
      <c r="E440" s="9"/>
      <c r="F440" s="10"/>
      <c r="G440" s="11"/>
      <c r="H440" s="11"/>
      <c r="I440" s="11"/>
      <c r="J440" s="11"/>
      <c r="K440" s="11"/>
      <c r="L440" s="11"/>
      <c r="M440" s="11"/>
      <c r="N440" s="11"/>
      <c r="O440" s="11"/>
      <c r="P440" s="11"/>
      <c r="Q440" s="11"/>
      <c r="R440" s="11"/>
      <c r="S440" s="11"/>
      <c r="T440" s="11"/>
    </row>
    <row r="441" spans="1:20" s="6" customFormat="1" ht="18" customHeight="1" x14ac:dyDescent="0.2">
      <c r="A441" s="7"/>
      <c r="B441" s="8"/>
      <c r="C441" s="64"/>
      <c r="D441" s="9"/>
      <c r="E441" s="9"/>
      <c r="F441" s="10"/>
      <c r="G441" s="11"/>
      <c r="H441" s="11"/>
      <c r="I441" s="11"/>
      <c r="J441" s="11"/>
      <c r="K441" s="11"/>
      <c r="L441" s="11"/>
      <c r="M441" s="11"/>
      <c r="N441" s="11"/>
      <c r="O441" s="11"/>
      <c r="P441" s="11"/>
      <c r="Q441" s="11"/>
      <c r="R441" s="11"/>
      <c r="S441" s="11"/>
      <c r="T441" s="11"/>
    </row>
    <row r="442" spans="1:20" s="6" customFormat="1" ht="18" customHeight="1" x14ac:dyDescent="0.2">
      <c r="A442" s="7"/>
      <c r="B442" s="8"/>
      <c r="C442" s="64"/>
      <c r="D442" s="9"/>
      <c r="E442" s="9"/>
      <c r="F442" s="10"/>
      <c r="G442" s="11"/>
      <c r="H442" s="11"/>
      <c r="I442" s="11"/>
      <c r="J442" s="11"/>
      <c r="K442" s="11"/>
      <c r="L442" s="11"/>
      <c r="M442" s="11"/>
      <c r="N442" s="11"/>
      <c r="O442" s="11"/>
      <c r="P442" s="11"/>
      <c r="Q442" s="11"/>
      <c r="R442" s="11"/>
      <c r="S442" s="11"/>
      <c r="T442" s="11"/>
    </row>
    <row r="443" spans="1:20" s="6" customFormat="1" ht="18" customHeight="1" x14ac:dyDescent="0.2">
      <c r="A443" s="7"/>
      <c r="B443" s="8"/>
      <c r="C443" s="64"/>
      <c r="D443" s="9"/>
      <c r="E443" s="9"/>
      <c r="F443" s="10"/>
      <c r="G443" s="11"/>
      <c r="H443" s="11"/>
      <c r="I443" s="11"/>
      <c r="J443" s="11"/>
      <c r="K443" s="11"/>
      <c r="L443" s="11"/>
      <c r="M443" s="11"/>
      <c r="N443" s="11"/>
      <c r="O443" s="11"/>
      <c r="P443" s="11"/>
      <c r="Q443" s="11"/>
      <c r="R443" s="11"/>
      <c r="S443" s="11"/>
      <c r="T443" s="11"/>
    </row>
    <row r="444" spans="1:20" s="6" customFormat="1" ht="18" customHeight="1" x14ac:dyDescent="0.2">
      <c r="A444" s="7"/>
      <c r="B444" s="8"/>
      <c r="C444" s="64"/>
      <c r="D444" s="9"/>
      <c r="E444" s="9"/>
      <c r="F444" s="10"/>
      <c r="G444" s="11"/>
      <c r="H444" s="11"/>
      <c r="I444" s="11"/>
      <c r="J444" s="11"/>
      <c r="K444" s="11"/>
      <c r="L444" s="11"/>
      <c r="M444" s="11"/>
      <c r="N444" s="11"/>
      <c r="O444" s="11"/>
      <c r="P444" s="11"/>
      <c r="Q444" s="11"/>
      <c r="R444" s="11"/>
      <c r="S444" s="11"/>
      <c r="T444" s="11"/>
    </row>
    <row r="445" spans="1:20" s="6" customFormat="1" ht="18" customHeight="1" x14ac:dyDescent="0.2">
      <c r="A445" s="7"/>
      <c r="B445" s="8"/>
      <c r="C445" s="64"/>
      <c r="D445" s="9"/>
      <c r="E445" s="9"/>
      <c r="F445" s="10"/>
      <c r="G445" s="11"/>
      <c r="H445" s="11"/>
      <c r="I445" s="11"/>
      <c r="J445" s="11"/>
      <c r="K445" s="11"/>
      <c r="L445" s="11"/>
      <c r="M445" s="11"/>
      <c r="N445" s="11"/>
      <c r="O445" s="11"/>
      <c r="P445" s="11"/>
      <c r="Q445" s="11"/>
      <c r="R445" s="11"/>
      <c r="S445" s="11"/>
      <c r="T445" s="11"/>
    </row>
    <row r="446" spans="1:20" s="6" customFormat="1" ht="18" customHeight="1" x14ac:dyDescent="0.2">
      <c r="A446" s="7"/>
      <c r="B446" s="8"/>
      <c r="C446" s="64"/>
      <c r="D446" s="9"/>
      <c r="E446" s="9"/>
      <c r="F446" s="10"/>
      <c r="G446" s="11"/>
      <c r="H446" s="11"/>
      <c r="I446" s="11"/>
      <c r="J446" s="11"/>
      <c r="K446" s="11"/>
      <c r="L446" s="11"/>
      <c r="M446" s="11"/>
      <c r="N446" s="11"/>
      <c r="O446" s="11"/>
      <c r="P446" s="11"/>
      <c r="Q446" s="11"/>
      <c r="R446" s="11"/>
      <c r="S446" s="11"/>
      <c r="T446" s="11"/>
    </row>
    <row r="447" spans="1:20" s="6" customFormat="1" ht="18" customHeight="1" x14ac:dyDescent="0.2">
      <c r="A447" s="7"/>
      <c r="B447" s="8"/>
      <c r="C447" s="64"/>
      <c r="D447" s="9"/>
      <c r="E447" s="9"/>
      <c r="F447" s="10"/>
      <c r="G447" s="11"/>
      <c r="H447" s="11"/>
      <c r="I447" s="11"/>
      <c r="J447" s="11"/>
      <c r="K447" s="11"/>
      <c r="L447" s="11"/>
      <c r="M447" s="11"/>
      <c r="N447" s="11"/>
      <c r="O447" s="11"/>
      <c r="P447" s="11"/>
      <c r="Q447" s="11"/>
      <c r="R447" s="11"/>
      <c r="S447" s="11"/>
      <c r="T447" s="11"/>
    </row>
    <row r="448" spans="1:20" s="6" customFormat="1" ht="18" customHeight="1" x14ac:dyDescent="0.2">
      <c r="A448" s="7"/>
      <c r="B448" s="8"/>
      <c r="C448" s="64"/>
      <c r="D448" s="9"/>
      <c r="E448" s="9"/>
      <c r="F448" s="10"/>
      <c r="G448" s="11"/>
      <c r="H448" s="11"/>
      <c r="I448" s="11"/>
      <c r="J448" s="11"/>
      <c r="K448" s="11"/>
      <c r="L448" s="11"/>
      <c r="M448" s="11"/>
      <c r="N448" s="11"/>
      <c r="O448" s="11"/>
      <c r="P448" s="11"/>
      <c r="Q448" s="11"/>
      <c r="R448" s="11"/>
      <c r="S448" s="11"/>
      <c r="T448" s="11"/>
    </row>
    <row r="449" spans="1:20" s="6" customFormat="1" ht="18" customHeight="1" x14ac:dyDescent="0.2">
      <c r="A449" s="7"/>
      <c r="B449" s="8"/>
      <c r="C449" s="64"/>
      <c r="D449" s="9"/>
      <c r="E449" s="9"/>
      <c r="F449" s="10"/>
      <c r="G449" s="11"/>
      <c r="H449" s="11"/>
      <c r="I449" s="11"/>
      <c r="J449" s="11"/>
      <c r="K449" s="11"/>
      <c r="L449" s="11"/>
      <c r="M449" s="11"/>
      <c r="N449" s="11"/>
      <c r="O449" s="11"/>
      <c r="P449" s="11"/>
      <c r="Q449" s="11"/>
      <c r="R449" s="11"/>
      <c r="S449" s="11"/>
      <c r="T449" s="11"/>
    </row>
    <row r="450" spans="1:20" s="6" customFormat="1" ht="18" customHeight="1" x14ac:dyDescent="0.2">
      <c r="A450" s="7"/>
      <c r="B450" s="8"/>
      <c r="C450" s="64"/>
      <c r="D450" s="9"/>
      <c r="E450" s="9"/>
      <c r="F450" s="10"/>
      <c r="G450" s="11"/>
      <c r="H450" s="11"/>
      <c r="I450" s="11"/>
      <c r="J450" s="11"/>
      <c r="K450" s="11"/>
      <c r="L450" s="11"/>
      <c r="M450" s="11"/>
      <c r="N450" s="11"/>
      <c r="O450" s="11"/>
      <c r="P450" s="11"/>
      <c r="Q450" s="11"/>
      <c r="R450" s="11"/>
      <c r="S450" s="11"/>
      <c r="T450" s="11"/>
    </row>
    <row r="451" spans="1:20" s="6" customFormat="1" ht="18" customHeight="1" x14ac:dyDescent="0.2">
      <c r="A451" s="7"/>
      <c r="B451" s="8"/>
      <c r="C451" s="64"/>
      <c r="D451" s="9"/>
      <c r="E451" s="9"/>
      <c r="F451" s="10"/>
      <c r="G451" s="11"/>
      <c r="H451" s="11"/>
      <c r="I451" s="11"/>
      <c r="J451" s="11"/>
      <c r="K451" s="11"/>
      <c r="L451" s="11"/>
      <c r="M451" s="11"/>
      <c r="N451" s="11"/>
      <c r="O451" s="11"/>
      <c r="P451" s="11"/>
      <c r="Q451" s="11"/>
      <c r="R451" s="11"/>
      <c r="S451" s="11"/>
      <c r="T451" s="11"/>
    </row>
  </sheetData>
  <autoFilter ref="B5:H323" xr:uid="{4FCA6DD7-22AF-48EB-A0B0-3DAF13BB3D59}"/>
  <mergeCells count="8">
    <mergeCell ref="I4:T4"/>
    <mergeCell ref="U4:AF4"/>
    <mergeCell ref="AG4:AR4"/>
    <mergeCell ref="V1:AR1"/>
    <mergeCell ref="L1:N1"/>
    <mergeCell ref="R1:U1"/>
    <mergeCell ref="D1:K1"/>
    <mergeCell ref="O1:Q1"/>
  </mergeCells>
  <conditionalFormatting sqref="B4:C4">
    <cfRule type="expression" dxfId="15" priority="21">
      <formula>OR(type="T")</formula>
    </cfRule>
    <cfRule type="expression" dxfId="14" priority="22">
      <formula>OR(type="P")</formula>
    </cfRule>
  </conditionalFormatting>
  <conditionalFormatting sqref="B6:C451">
    <cfRule type="expression" dxfId="13" priority="45">
      <formula>OR(type="T")</formula>
    </cfRule>
    <cfRule type="expression" dxfId="12" priority="46">
      <formula>OR(type="P")</formula>
    </cfRule>
  </conditionalFormatting>
  <conditionalFormatting sqref="F6:H451">
    <cfRule type="expression" dxfId="11" priority="40">
      <formula>_xlfn.ISFORMULA(duration)</formula>
    </cfRule>
  </conditionalFormatting>
  <conditionalFormatting sqref="I4:AR501">
    <cfRule type="expression" dxfId="10" priority="44">
      <formula>YEAR(next_month)&gt;YEAR(month)</formula>
    </cfRule>
  </conditionalFormatting>
  <conditionalFormatting sqref="I5:AR5">
    <cfRule type="expression" dxfId="9" priority="9">
      <formula>EOMONTH(I5,0)=EOMONTH(TODAY(),0)</formula>
    </cfRule>
  </conditionalFormatting>
  <conditionalFormatting sqref="I6:AR501">
    <cfRule type="expression" dxfId="8" priority="1">
      <formula>AND(NOT(ISBLANK(start_date)), category="Reference", EOMONTH(month,0)&gt;=EOMONTH(start_date,0), EOMONTH(month,0)&lt;=EOMONTH(end_date,0))</formula>
    </cfRule>
    <cfRule type="expression" dxfId="7" priority="35">
      <formula>AND(NOT(ISBLANK(start_date)), category="Comms", EOMONTH(month,0)&gt;=EOMONTH(start_date,0), EOMONTH(month,0)&lt;=EOMONTH(end_date,0))</formula>
    </cfRule>
    <cfRule type="expression" dxfId="6" priority="36">
      <formula>AND(NOT(ISBLANK(start_date)), category="Prep", EOMONTH(month,0)&gt;=EOMONTH(start_date,0), EOMONTH(month,0)&lt;=EOMONTH(end_date,0))</formula>
    </cfRule>
    <cfRule type="expression" dxfId="5" priority="37">
      <formula>AND(NOT(ISBLANK(start_date)), category="Event", EOMONTH(month,0)&gt;=EOMONTH(start_date,0), EOMONTH(month,0)&lt;=EOMONTH(end_date,0))</formula>
    </cfRule>
    <cfRule type="expression" dxfId="4" priority="38">
      <formula>AND(NOT(ISBLANK(start_date)), category="For_Noting", EOMONTH(month,0)&gt;=EOMONTH(start_date,0), EOMONTH(month,0)&lt;=EOMONTH(end_date,0))</formula>
    </cfRule>
    <cfRule type="expression" dxfId="3" priority="39">
      <formula>AND(NOT(ISBLANK(start_date)), category="Branch Calendar Event", EOMONTH(month,0)&gt;=EOMONTH(start_date,0), EOMONTH(month,0)&lt;=EOMONTH(end_date,0))</formula>
    </cfRule>
    <cfRule type="expression" dxfId="2" priority="43">
      <formula>AND(NOT(ISBLANK(start_date)),EOMONTH(month,0)&gt;=EOMONTH(start_date,0),EOMONTH(month,0)&lt;=EOMONTH(end_date,0))</formula>
    </cfRule>
  </conditionalFormatting>
  <conditionalFormatting sqref="I302:AR451">
    <cfRule type="expression" dxfId="1" priority="41">
      <formula>AND(NOT(ISBLANK(start_date)),EOMONTH(month,0)&gt;=EOMONTH(start_date,0),EOMONTH(month,0)&lt;=EOMONTH(end_date,0))</formula>
    </cfRule>
    <cfRule type="expression" dxfId="0" priority="42">
      <formula>YEAR(next_month)&gt;YEAR(month)</formula>
    </cfRule>
  </conditionalFormatting>
  <dataValidations count="2">
    <dataValidation type="list" allowBlank="1" showInputMessage="1" showErrorMessage="1" sqref="L1" xr:uid="{262BBC28-5984-47C8-8F2C-5144C24FF9F5}">
      <formula1>"Start Date, Task Name, Category"</formula1>
    </dataValidation>
    <dataValidation type="list" allowBlank="1" showInputMessage="1" showErrorMessage="1" sqref="R1:U1" xr:uid="{C7FACBFA-7D4B-4D7D-BFC1-35D4E8584CCD}">
      <formula1>"1/01/2026,1/01/2027,1/01/2028,1/01/2029,1/01/2030"</formula1>
    </dataValidation>
  </dataValidations>
  <pageMargins left="0.23622047244094491" right="0.23622047244094491" top="0.74803149606299213" bottom="0.74803149606299213" header="0.31496062992125984" footer="0.31496062992125984"/>
  <pageSetup paperSize="9" scale="40" fitToHeight="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8193" r:id="rId4" name="Scroll Bar 1">
              <controlPr defaultSize="0" autoPict="0">
                <anchor moveWithCells="1">
                  <from>
                    <xdr:col>21</xdr:col>
                    <xdr:colOff>330200</xdr:colOff>
                    <xdr:row>0</xdr:row>
                    <xdr:rowOff>101600</xdr:rowOff>
                  </from>
                  <to>
                    <xdr:col>33</xdr:col>
                    <xdr:colOff>279400</xdr:colOff>
                    <xdr:row>0</xdr:row>
                    <xdr:rowOff>368300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DAF80-4FB3-447C-B206-F8791A46ED7E}">
  <sheetPr>
    <tabColor rgb="FF0070C0"/>
  </sheetPr>
  <dimension ref="A1:AQ85"/>
  <sheetViews>
    <sheetView topLeftCell="E1" zoomScale="101" workbookViewId="0">
      <pane ySplit="2" topLeftCell="A51" activePane="bottomLeft" state="frozen"/>
      <selection activeCell="N8" sqref="N8"/>
      <selection pane="bottomLeft" activeCell="E60" sqref="E60"/>
    </sheetView>
  </sheetViews>
  <sheetFormatPr baseColWidth="10" defaultColWidth="8.83203125" defaultRowHeight="15" x14ac:dyDescent="0.2"/>
  <cols>
    <col min="1" max="1" width="23.5" hidden="1" customWidth="1"/>
    <col min="2" max="2" width="5" hidden="1" customWidth="1"/>
    <col min="3" max="4" width="28.1640625" hidden="1" customWidth="1"/>
    <col min="5" max="5" width="41.5" customWidth="1"/>
    <col min="6" max="6" width="36" customWidth="1"/>
    <col min="7" max="7" width="9.83203125" hidden="1" customWidth="1"/>
    <col min="8" max="8" width="21" hidden="1" customWidth="1"/>
    <col min="9" max="9" width="12.1640625" hidden="1" customWidth="1"/>
    <col min="10" max="10" width="17.5" customWidth="1"/>
    <col min="11" max="12" width="14.83203125" bestFit="1" customWidth="1"/>
    <col min="13" max="13" width="16.5" hidden="1" customWidth="1"/>
    <col min="14" max="14" width="21.5" hidden="1" customWidth="1"/>
    <col min="15" max="15" width="8.5" hidden="1" customWidth="1"/>
    <col min="16" max="16" width="20.1640625" hidden="1" customWidth="1"/>
    <col min="17" max="17" width="25.5" hidden="1" customWidth="1"/>
    <col min="18" max="18" width="10.5" hidden="1" customWidth="1"/>
    <col min="19" max="19" width="7.1640625" hidden="1" customWidth="1"/>
    <col min="20" max="20" width="13" hidden="1" customWidth="1"/>
    <col min="21" max="21" width="16.5" hidden="1" customWidth="1"/>
    <col min="22" max="22" width="18.5" hidden="1" customWidth="1"/>
    <col min="23" max="23" width="20.5" hidden="1" customWidth="1"/>
    <col min="24" max="24" width="22" hidden="1" customWidth="1"/>
    <col min="25" max="25" width="10" hidden="1" customWidth="1"/>
    <col min="26" max="26" width="18.1640625" bestFit="1" customWidth="1"/>
    <col min="27" max="27" width="18.5" bestFit="1" customWidth="1"/>
    <col min="28" max="28" width="12.5" hidden="1" customWidth="1"/>
    <col min="29" max="29" width="6.5" hidden="1" customWidth="1"/>
    <col min="30" max="30" width="11.5" hidden="1" customWidth="1"/>
    <col min="31" max="31" width="10.5" hidden="1" customWidth="1"/>
    <col min="32" max="32" width="11.1640625" hidden="1" customWidth="1"/>
    <col min="33" max="33" width="10.5" hidden="1" customWidth="1"/>
    <col min="34" max="34" width="25.1640625" hidden="1" customWidth="1"/>
    <col min="35" max="35" width="14.5" hidden="1" customWidth="1"/>
    <col min="36" max="36" width="8" hidden="1" customWidth="1"/>
    <col min="37" max="37" width="8.5" hidden="1" customWidth="1"/>
    <col min="38" max="38" width="11.5" customWidth="1"/>
    <col min="39" max="39" width="19.5" bestFit="1" customWidth="1"/>
    <col min="40" max="40" width="18" customWidth="1"/>
  </cols>
  <sheetData>
    <row r="1" spans="1:40" s="38" customFormat="1" ht="24" x14ac:dyDescent="0.3">
      <c r="E1" s="39" t="s">
        <v>46</v>
      </c>
    </row>
    <row r="2" spans="1:40" x14ac:dyDescent="0.2">
      <c r="A2" t="s">
        <v>47</v>
      </c>
      <c r="B2" t="s">
        <v>48</v>
      </c>
      <c r="C2" t="s">
        <v>49</v>
      </c>
      <c r="D2" t="s">
        <v>50</v>
      </c>
      <c r="E2" t="s">
        <v>51</v>
      </c>
      <c r="F2" t="s">
        <v>52</v>
      </c>
      <c r="G2" t="s">
        <v>53</v>
      </c>
      <c r="H2" t="s">
        <v>54</v>
      </c>
      <c r="I2" t="s">
        <v>55</v>
      </c>
      <c r="J2" t="s">
        <v>56</v>
      </c>
      <c r="K2" t="s">
        <v>57</v>
      </c>
      <c r="L2" t="s">
        <v>58</v>
      </c>
      <c r="M2" t="s">
        <v>59</v>
      </c>
      <c r="N2" t="s">
        <v>60</v>
      </c>
      <c r="O2" t="s">
        <v>61</v>
      </c>
      <c r="P2" t="s">
        <v>62</v>
      </c>
      <c r="Q2" t="s">
        <v>63</v>
      </c>
      <c r="R2" t="s">
        <v>64</v>
      </c>
      <c r="S2" t="s">
        <v>65</v>
      </c>
      <c r="T2" t="s">
        <v>66</v>
      </c>
      <c r="U2" t="s">
        <v>67</v>
      </c>
      <c r="V2" t="s">
        <v>68</v>
      </c>
      <c r="W2" t="s">
        <v>69</v>
      </c>
      <c r="X2" t="s">
        <v>70</v>
      </c>
      <c r="Y2" t="s">
        <v>71</v>
      </c>
      <c r="Z2" t="s">
        <v>72</v>
      </c>
      <c r="AA2" t="s">
        <v>73</v>
      </c>
      <c r="AB2" t="s">
        <v>74</v>
      </c>
      <c r="AC2" t="s">
        <v>75</v>
      </c>
      <c r="AD2" t="s">
        <v>76</v>
      </c>
      <c r="AE2" t="s">
        <v>77</v>
      </c>
      <c r="AF2" t="s">
        <v>78</v>
      </c>
      <c r="AG2" t="s">
        <v>79</v>
      </c>
      <c r="AH2" t="s">
        <v>80</v>
      </c>
      <c r="AI2" t="s">
        <v>81</v>
      </c>
      <c r="AJ2" t="s">
        <v>82</v>
      </c>
      <c r="AK2" t="s">
        <v>83</v>
      </c>
      <c r="AL2" t="s">
        <v>84</v>
      </c>
      <c r="AM2" t="s">
        <v>85</v>
      </c>
    </row>
    <row r="3" spans="1:40" x14ac:dyDescent="0.2">
      <c r="E3" t="s">
        <v>86</v>
      </c>
      <c r="J3" t="s">
        <v>87</v>
      </c>
      <c r="K3" s="21">
        <v>46115</v>
      </c>
      <c r="L3" s="21">
        <v>46131</v>
      </c>
      <c r="AA3" t="s">
        <v>88</v>
      </c>
      <c r="AN3" s="76" t="s">
        <v>89</v>
      </c>
    </row>
    <row r="4" spans="1:40" x14ac:dyDescent="0.2">
      <c r="E4" t="s">
        <v>90</v>
      </c>
      <c r="J4" t="s">
        <v>87</v>
      </c>
      <c r="K4" s="21">
        <v>46200</v>
      </c>
      <c r="L4" s="21">
        <v>46217</v>
      </c>
      <c r="AA4" t="s">
        <v>88</v>
      </c>
      <c r="AN4" s="78" t="s">
        <v>89</v>
      </c>
    </row>
    <row r="5" spans="1:40" x14ac:dyDescent="0.2">
      <c r="E5" t="s">
        <v>91</v>
      </c>
      <c r="J5" t="s">
        <v>87</v>
      </c>
      <c r="K5" s="21">
        <v>46284</v>
      </c>
      <c r="L5" s="21">
        <v>46300</v>
      </c>
      <c r="AA5" t="s">
        <v>88</v>
      </c>
      <c r="AN5" s="75" t="s">
        <v>89</v>
      </c>
    </row>
    <row r="6" spans="1:40" x14ac:dyDescent="0.2">
      <c r="E6" t="s">
        <v>92</v>
      </c>
      <c r="J6" t="s">
        <v>87</v>
      </c>
      <c r="K6" s="21">
        <v>46368</v>
      </c>
      <c r="L6" s="21">
        <v>46413</v>
      </c>
      <c r="AA6" t="s">
        <v>88</v>
      </c>
      <c r="AN6" s="77" t="s">
        <v>89</v>
      </c>
    </row>
    <row r="7" spans="1:40" x14ac:dyDescent="0.2">
      <c r="E7" t="s">
        <v>86</v>
      </c>
      <c r="J7" t="s">
        <v>87</v>
      </c>
      <c r="K7" s="21">
        <v>46472</v>
      </c>
      <c r="L7" s="21">
        <v>46488</v>
      </c>
      <c r="AA7" t="s">
        <v>88</v>
      </c>
      <c r="AN7" s="75" t="s">
        <v>89</v>
      </c>
    </row>
    <row r="8" spans="1:40" x14ac:dyDescent="0.2">
      <c r="E8" t="s">
        <v>90</v>
      </c>
      <c r="J8" t="s">
        <v>87</v>
      </c>
      <c r="K8" s="21">
        <v>46564</v>
      </c>
      <c r="L8" s="21">
        <v>46579</v>
      </c>
      <c r="AA8" t="s">
        <v>88</v>
      </c>
      <c r="AN8" s="77" t="s">
        <v>89</v>
      </c>
    </row>
    <row r="9" spans="1:40" x14ac:dyDescent="0.2">
      <c r="E9" t="s">
        <v>91</v>
      </c>
      <c r="J9" t="s">
        <v>87</v>
      </c>
      <c r="K9" s="21">
        <v>46648</v>
      </c>
      <c r="L9" s="21">
        <v>46664</v>
      </c>
      <c r="AA9" t="s">
        <v>88</v>
      </c>
      <c r="AN9" s="75" t="s">
        <v>89</v>
      </c>
    </row>
    <row r="10" spans="1:40" x14ac:dyDescent="0.2">
      <c r="E10" t="s">
        <v>92</v>
      </c>
      <c r="J10" t="s">
        <v>87</v>
      </c>
      <c r="K10" s="21">
        <v>46732</v>
      </c>
      <c r="L10" s="21">
        <v>46775</v>
      </c>
      <c r="AA10" t="s">
        <v>88</v>
      </c>
      <c r="AN10" s="77" t="s">
        <v>89</v>
      </c>
    </row>
    <row r="11" spans="1:40" x14ac:dyDescent="0.2">
      <c r="E11" t="s">
        <v>86</v>
      </c>
      <c r="J11" t="s">
        <v>87</v>
      </c>
      <c r="K11" s="21">
        <v>46844</v>
      </c>
      <c r="L11" s="21">
        <v>46860</v>
      </c>
      <c r="AA11" t="s">
        <v>88</v>
      </c>
      <c r="AN11" s="75" t="s">
        <v>89</v>
      </c>
    </row>
    <row r="12" spans="1:40" x14ac:dyDescent="0.2">
      <c r="E12" t="s">
        <v>90</v>
      </c>
      <c r="J12" t="s">
        <v>87</v>
      </c>
      <c r="K12" s="21">
        <v>46928</v>
      </c>
      <c r="L12" s="21">
        <v>46943</v>
      </c>
      <c r="AA12" t="s">
        <v>88</v>
      </c>
      <c r="AN12" s="77" t="s">
        <v>89</v>
      </c>
    </row>
    <row r="13" spans="1:40" x14ac:dyDescent="0.2">
      <c r="E13" t="s">
        <v>91</v>
      </c>
      <c r="J13" t="s">
        <v>87</v>
      </c>
      <c r="K13" s="21">
        <v>47012</v>
      </c>
      <c r="L13" s="21">
        <v>47028</v>
      </c>
      <c r="AA13" t="s">
        <v>88</v>
      </c>
      <c r="AN13" s="75" t="s">
        <v>89</v>
      </c>
    </row>
    <row r="14" spans="1:40" x14ac:dyDescent="0.2">
      <c r="E14" t="s">
        <v>92</v>
      </c>
      <c r="J14" t="s">
        <v>87</v>
      </c>
      <c r="K14" s="21">
        <v>47096</v>
      </c>
      <c r="L14" s="21">
        <v>47139</v>
      </c>
      <c r="AA14" t="s">
        <v>88</v>
      </c>
      <c r="AN14" s="77" t="s">
        <v>89</v>
      </c>
    </row>
    <row r="15" spans="1:40" x14ac:dyDescent="0.2">
      <c r="E15" t="s">
        <v>86</v>
      </c>
      <c r="J15" t="s">
        <v>87</v>
      </c>
      <c r="K15" s="21">
        <v>47207</v>
      </c>
      <c r="L15" s="21">
        <v>47223</v>
      </c>
      <c r="AA15" t="s">
        <v>88</v>
      </c>
      <c r="AN15" s="75" t="s">
        <v>89</v>
      </c>
    </row>
    <row r="16" spans="1:40" x14ac:dyDescent="0.2">
      <c r="E16" t="s">
        <v>90</v>
      </c>
      <c r="J16" t="s">
        <v>87</v>
      </c>
      <c r="K16" s="21">
        <v>47292</v>
      </c>
      <c r="L16" s="21">
        <v>47307</v>
      </c>
      <c r="AA16" t="s">
        <v>88</v>
      </c>
      <c r="AN16" s="77" t="s">
        <v>89</v>
      </c>
    </row>
    <row r="17" spans="5:40" x14ac:dyDescent="0.2">
      <c r="E17" t="s">
        <v>91</v>
      </c>
      <c r="J17" t="s">
        <v>87</v>
      </c>
      <c r="K17" s="21">
        <v>47376</v>
      </c>
      <c r="L17" s="21">
        <v>47392</v>
      </c>
      <c r="AA17" t="s">
        <v>88</v>
      </c>
      <c r="AN17" s="75" t="s">
        <v>89</v>
      </c>
    </row>
    <row r="18" spans="5:40" x14ac:dyDescent="0.2">
      <c r="E18" t="s">
        <v>92</v>
      </c>
      <c r="J18" t="s">
        <v>87</v>
      </c>
      <c r="K18" s="21">
        <v>47460</v>
      </c>
      <c r="L18" s="21">
        <v>47483</v>
      </c>
      <c r="AA18" t="s">
        <v>88</v>
      </c>
      <c r="AN18" s="77" t="s">
        <v>89</v>
      </c>
    </row>
    <row r="19" spans="5:40" x14ac:dyDescent="0.2">
      <c r="E19" s="46" t="s">
        <v>93</v>
      </c>
      <c r="J19" t="s">
        <v>87</v>
      </c>
      <c r="K19" s="21">
        <v>46619</v>
      </c>
      <c r="L19" s="21">
        <v>46621</v>
      </c>
      <c r="AA19" t="s">
        <v>94</v>
      </c>
    </row>
    <row r="20" spans="5:40" x14ac:dyDescent="0.2">
      <c r="E20" t="s">
        <v>95</v>
      </c>
      <c r="J20" t="s">
        <v>87</v>
      </c>
      <c r="K20" s="21">
        <v>46472</v>
      </c>
      <c r="L20" s="21">
        <v>46475</v>
      </c>
      <c r="AA20" t="s">
        <v>88</v>
      </c>
      <c r="AN20" s="78" t="s">
        <v>89</v>
      </c>
    </row>
    <row r="21" spans="5:40" x14ac:dyDescent="0.2">
      <c r="E21" t="s">
        <v>96</v>
      </c>
      <c r="J21" t="s">
        <v>87</v>
      </c>
      <c r="K21" s="21">
        <v>46857</v>
      </c>
      <c r="L21" s="21">
        <v>46860</v>
      </c>
      <c r="AA21" t="s">
        <v>88</v>
      </c>
      <c r="AN21" s="76" t="s">
        <v>89</v>
      </c>
    </row>
    <row r="22" spans="5:40" x14ac:dyDescent="0.2">
      <c r="E22" t="s">
        <v>97</v>
      </c>
      <c r="J22" t="s">
        <v>87</v>
      </c>
      <c r="K22" s="21">
        <v>47207</v>
      </c>
      <c r="L22" s="21">
        <v>47210</v>
      </c>
      <c r="AA22" t="s">
        <v>88</v>
      </c>
      <c r="AN22" s="77" t="s">
        <v>89</v>
      </c>
    </row>
    <row r="23" spans="5:40" x14ac:dyDescent="0.2">
      <c r="E23" t="s">
        <v>98</v>
      </c>
      <c r="J23" t="s">
        <v>87</v>
      </c>
      <c r="K23" s="21">
        <v>46270</v>
      </c>
      <c r="L23" s="21">
        <v>46270</v>
      </c>
      <c r="AA23" t="s">
        <v>94</v>
      </c>
    </row>
    <row r="24" spans="5:40" x14ac:dyDescent="0.2">
      <c r="E24" t="s">
        <v>99</v>
      </c>
      <c r="J24" t="s">
        <v>87</v>
      </c>
      <c r="K24" s="21">
        <v>46459</v>
      </c>
      <c r="L24" s="21">
        <v>46459</v>
      </c>
      <c r="AA24" t="s">
        <v>94</v>
      </c>
    </row>
    <row r="25" spans="5:40" x14ac:dyDescent="0.2">
      <c r="E25" t="s">
        <v>100</v>
      </c>
      <c r="J25" t="s">
        <v>87</v>
      </c>
      <c r="K25" s="21">
        <v>46319</v>
      </c>
      <c r="L25" s="21">
        <v>46320</v>
      </c>
      <c r="AA25" t="s">
        <v>94</v>
      </c>
    </row>
    <row r="26" spans="5:40" x14ac:dyDescent="0.2">
      <c r="E26" t="s">
        <v>101</v>
      </c>
      <c r="J26" t="s">
        <v>87</v>
      </c>
      <c r="K26" s="21">
        <v>46620</v>
      </c>
      <c r="L26" s="21">
        <v>46622</v>
      </c>
      <c r="AA26" t="s">
        <v>94</v>
      </c>
    </row>
    <row r="27" spans="5:40" x14ac:dyDescent="0.2">
      <c r="E27" t="s">
        <v>102</v>
      </c>
      <c r="J27" t="s">
        <v>87</v>
      </c>
      <c r="K27" s="21">
        <v>46613</v>
      </c>
      <c r="L27" s="21">
        <v>46614</v>
      </c>
      <c r="AA27" t="s">
        <v>94</v>
      </c>
    </row>
    <row r="28" spans="5:40" x14ac:dyDescent="0.2">
      <c r="E28" t="s">
        <v>103</v>
      </c>
      <c r="J28" t="s">
        <v>87</v>
      </c>
      <c r="K28" s="81">
        <v>46508</v>
      </c>
      <c r="L28" s="81">
        <v>46508</v>
      </c>
      <c r="AA28" t="s">
        <v>94</v>
      </c>
      <c r="AN28" s="82" t="s">
        <v>104</v>
      </c>
    </row>
    <row r="29" spans="5:40" x14ac:dyDescent="0.2">
      <c r="E29" t="s">
        <v>105</v>
      </c>
      <c r="J29" t="s">
        <v>87</v>
      </c>
      <c r="K29" s="81">
        <v>46661</v>
      </c>
      <c r="L29" s="81">
        <v>46661</v>
      </c>
      <c r="AA29" t="s">
        <v>94</v>
      </c>
      <c r="AN29" s="82" t="s">
        <v>104</v>
      </c>
    </row>
    <row r="30" spans="5:40" x14ac:dyDescent="0.2">
      <c r="E30" t="s">
        <v>106</v>
      </c>
      <c r="J30" t="s">
        <v>87</v>
      </c>
      <c r="K30" s="81">
        <v>46447</v>
      </c>
      <c r="L30" s="81">
        <v>46447</v>
      </c>
      <c r="AA30" t="s">
        <v>94</v>
      </c>
      <c r="AN30" s="82" t="s">
        <v>104</v>
      </c>
    </row>
    <row r="31" spans="5:40" x14ac:dyDescent="0.2">
      <c r="E31" t="s">
        <v>106</v>
      </c>
      <c r="J31" t="s">
        <v>87</v>
      </c>
      <c r="K31" s="81">
        <v>46692</v>
      </c>
      <c r="L31" s="81">
        <v>46692</v>
      </c>
      <c r="AA31" t="s">
        <v>94</v>
      </c>
      <c r="AN31" s="82" t="s">
        <v>104</v>
      </c>
    </row>
    <row r="32" spans="5:40" x14ac:dyDescent="0.2">
      <c r="E32" t="s">
        <v>107</v>
      </c>
      <c r="J32" t="s">
        <v>87</v>
      </c>
      <c r="K32" s="81">
        <v>46539</v>
      </c>
      <c r="L32" s="81">
        <v>46539</v>
      </c>
      <c r="AA32" t="s">
        <v>94</v>
      </c>
      <c r="AN32" s="82" t="s">
        <v>104</v>
      </c>
    </row>
    <row r="33" spans="5:43" x14ac:dyDescent="0.2">
      <c r="E33" t="s">
        <v>106</v>
      </c>
      <c r="J33" t="s">
        <v>87</v>
      </c>
      <c r="K33" s="81">
        <v>46569</v>
      </c>
      <c r="L33" s="81">
        <v>46569</v>
      </c>
      <c r="AA33" t="s">
        <v>94</v>
      </c>
      <c r="AN33" s="82" t="s">
        <v>104</v>
      </c>
    </row>
    <row r="34" spans="5:43" x14ac:dyDescent="0.2">
      <c r="E34" t="s">
        <v>108</v>
      </c>
      <c r="J34" t="s">
        <v>87</v>
      </c>
      <c r="K34" s="81">
        <v>46631</v>
      </c>
      <c r="L34" s="81">
        <v>46631</v>
      </c>
      <c r="AA34" t="s">
        <v>6</v>
      </c>
      <c r="AN34" s="82" t="s">
        <v>104</v>
      </c>
    </row>
    <row r="35" spans="5:43" x14ac:dyDescent="0.2">
      <c r="E35" t="s">
        <v>109</v>
      </c>
      <c r="J35" t="s">
        <v>87</v>
      </c>
      <c r="K35" s="81">
        <v>46419</v>
      </c>
      <c r="L35" s="81">
        <v>46419</v>
      </c>
      <c r="AA35" t="s">
        <v>94</v>
      </c>
      <c r="AN35" s="82" t="s">
        <v>104</v>
      </c>
    </row>
    <row r="36" spans="5:43" x14ac:dyDescent="0.2">
      <c r="E36" t="s">
        <v>110</v>
      </c>
      <c r="J36" t="s">
        <v>87</v>
      </c>
      <c r="K36" s="81">
        <v>46357</v>
      </c>
      <c r="L36" s="81">
        <v>46418</v>
      </c>
      <c r="AA36" t="s">
        <v>6</v>
      </c>
      <c r="AN36" s="82" t="s">
        <v>104</v>
      </c>
    </row>
    <row r="37" spans="5:43" x14ac:dyDescent="0.2">
      <c r="E37" t="s">
        <v>111</v>
      </c>
      <c r="J37" t="s">
        <v>87</v>
      </c>
      <c r="K37" s="81">
        <v>46447</v>
      </c>
      <c r="L37" s="81">
        <v>46447</v>
      </c>
      <c r="AA37" t="s">
        <v>94</v>
      </c>
      <c r="AN37" s="82" t="s">
        <v>104</v>
      </c>
    </row>
    <row r="38" spans="5:43" x14ac:dyDescent="0.2">
      <c r="E38" t="s">
        <v>112</v>
      </c>
      <c r="J38" t="s">
        <v>87</v>
      </c>
      <c r="K38" s="81">
        <v>46388</v>
      </c>
      <c r="L38" s="81">
        <v>46446</v>
      </c>
      <c r="AA38" t="s">
        <v>6</v>
      </c>
      <c r="AN38" s="82" t="s">
        <v>104</v>
      </c>
    </row>
    <row r="39" spans="5:43" x14ac:dyDescent="0.2">
      <c r="E39" t="s">
        <v>113</v>
      </c>
      <c r="J39" t="s">
        <v>87</v>
      </c>
      <c r="K39" s="81">
        <v>46508</v>
      </c>
      <c r="L39" s="81">
        <v>46508</v>
      </c>
      <c r="AA39" t="s">
        <v>94</v>
      </c>
      <c r="AN39" s="82" t="s">
        <v>104</v>
      </c>
    </row>
    <row r="40" spans="5:43" x14ac:dyDescent="0.2">
      <c r="E40" t="s">
        <v>114</v>
      </c>
      <c r="J40" t="s">
        <v>87</v>
      </c>
      <c r="K40" s="81">
        <v>46478</v>
      </c>
      <c r="L40" s="81">
        <v>46507</v>
      </c>
      <c r="AA40" t="s">
        <v>6</v>
      </c>
      <c r="AN40" s="82" t="s">
        <v>104</v>
      </c>
    </row>
    <row r="41" spans="5:43" x14ac:dyDescent="0.2">
      <c r="E41" t="s">
        <v>115</v>
      </c>
      <c r="J41" t="s">
        <v>87</v>
      </c>
      <c r="K41" s="81">
        <v>46569</v>
      </c>
      <c r="L41" s="81">
        <v>46569</v>
      </c>
      <c r="AA41" t="s">
        <v>94</v>
      </c>
      <c r="AN41" s="82" t="s">
        <v>104</v>
      </c>
    </row>
    <row r="42" spans="5:43" x14ac:dyDescent="0.2">
      <c r="E42" t="s">
        <v>116</v>
      </c>
      <c r="J42" t="s">
        <v>87</v>
      </c>
      <c r="K42" s="81">
        <v>46539</v>
      </c>
      <c r="L42" s="81">
        <v>46539</v>
      </c>
      <c r="AA42" t="s">
        <v>6</v>
      </c>
      <c r="AN42" s="82" t="s">
        <v>104</v>
      </c>
      <c r="AQ42" s="79" t="s">
        <v>117</v>
      </c>
    </row>
    <row r="43" spans="5:43" x14ac:dyDescent="0.2">
      <c r="E43" t="s">
        <v>118</v>
      </c>
      <c r="J43" t="s">
        <v>87</v>
      </c>
      <c r="K43" s="81">
        <v>46631</v>
      </c>
      <c r="L43" s="81">
        <v>46631</v>
      </c>
      <c r="AA43" t="s">
        <v>94</v>
      </c>
      <c r="AN43" s="82" t="s">
        <v>104</v>
      </c>
      <c r="AQ43" s="80" t="s">
        <v>119</v>
      </c>
    </row>
    <row r="44" spans="5:43" x14ac:dyDescent="0.2">
      <c r="E44" t="s">
        <v>120</v>
      </c>
      <c r="J44" t="s">
        <v>87</v>
      </c>
      <c r="K44" s="81">
        <v>46600</v>
      </c>
      <c r="L44" s="81">
        <v>46600</v>
      </c>
      <c r="AA44" t="s">
        <v>6</v>
      </c>
      <c r="AN44" s="82" t="s">
        <v>104</v>
      </c>
      <c r="AQ44" s="80" t="s">
        <v>121</v>
      </c>
    </row>
    <row r="45" spans="5:43" x14ac:dyDescent="0.2">
      <c r="E45" t="s">
        <v>122</v>
      </c>
      <c r="J45" t="s">
        <v>87</v>
      </c>
      <c r="K45" s="81">
        <v>46661</v>
      </c>
      <c r="L45" s="81">
        <v>46661</v>
      </c>
      <c r="AA45" t="s">
        <v>94</v>
      </c>
      <c r="AN45" s="82" t="s">
        <v>104</v>
      </c>
      <c r="AQ45" s="80" t="s">
        <v>123</v>
      </c>
    </row>
    <row r="46" spans="5:43" x14ac:dyDescent="0.2">
      <c r="E46" t="s">
        <v>124</v>
      </c>
      <c r="J46" t="s">
        <v>87</v>
      </c>
      <c r="K46" s="81">
        <v>46419</v>
      </c>
      <c r="L46" s="81">
        <v>46419</v>
      </c>
      <c r="AA46" t="s">
        <v>6</v>
      </c>
      <c r="AN46" s="82" t="s">
        <v>104</v>
      </c>
      <c r="AQ46" s="80" t="s">
        <v>125</v>
      </c>
    </row>
    <row r="47" spans="5:43" ht="16" x14ac:dyDescent="0.2">
      <c r="E47" s="83" t="s">
        <v>126</v>
      </c>
      <c r="F47" t="s">
        <v>127</v>
      </c>
      <c r="J47" t="s">
        <v>87</v>
      </c>
      <c r="K47" s="81">
        <v>46388</v>
      </c>
      <c r="L47" s="81">
        <v>46388</v>
      </c>
      <c r="Z47" t="s">
        <v>128</v>
      </c>
      <c r="AA47" t="s">
        <v>94</v>
      </c>
      <c r="AM47" t="s">
        <v>129</v>
      </c>
      <c r="AN47" s="82" t="s">
        <v>104</v>
      </c>
    </row>
    <row r="48" spans="5:43" ht="16" x14ac:dyDescent="0.2">
      <c r="E48" s="83" t="s">
        <v>130</v>
      </c>
      <c r="F48" t="s">
        <v>131</v>
      </c>
      <c r="J48" t="s">
        <v>87</v>
      </c>
      <c r="K48" s="81">
        <v>46388</v>
      </c>
      <c r="L48" s="81">
        <v>46388</v>
      </c>
      <c r="Z48" t="s">
        <v>128</v>
      </c>
      <c r="AA48" t="s">
        <v>94</v>
      </c>
      <c r="AM48" t="s">
        <v>132</v>
      </c>
      <c r="AN48" s="82" t="s">
        <v>104</v>
      </c>
    </row>
    <row r="49" spans="5:40" ht="16" x14ac:dyDescent="0.2">
      <c r="E49" s="83" t="s">
        <v>133</v>
      </c>
      <c r="F49" t="s">
        <v>134</v>
      </c>
      <c r="J49" t="s">
        <v>87</v>
      </c>
      <c r="K49" s="81">
        <v>46388</v>
      </c>
      <c r="L49" s="81">
        <v>46388</v>
      </c>
      <c r="Z49" t="s">
        <v>128</v>
      </c>
      <c r="AA49" t="s">
        <v>94</v>
      </c>
      <c r="AM49" t="s">
        <v>135</v>
      </c>
      <c r="AN49" s="82" t="s">
        <v>104</v>
      </c>
    </row>
    <row r="50" spans="5:40" ht="16" x14ac:dyDescent="0.2">
      <c r="E50" s="83" t="s">
        <v>136</v>
      </c>
      <c r="F50" t="s">
        <v>137</v>
      </c>
      <c r="J50" t="s">
        <v>87</v>
      </c>
      <c r="K50" s="81">
        <v>46478</v>
      </c>
      <c r="L50" s="81">
        <v>46478</v>
      </c>
      <c r="Z50" t="s">
        <v>128</v>
      </c>
      <c r="AA50" t="s">
        <v>94</v>
      </c>
      <c r="AM50" t="s">
        <v>138</v>
      </c>
      <c r="AN50" s="82" t="s">
        <v>104</v>
      </c>
    </row>
    <row r="51" spans="5:40" x14ac:dyDescent="0.2">
      <c r="E51" t="s">
        <v>139</v>
      </c>
      <c r="J51" t="s">
        <v>87</v>
      </c>
      <c r="K51" s="21">
        <v>46447</v>
      </c>
      <c r="L51" s="21">
        <v>46447</v>
      </c>
      <c r="Z51" t="s">
        <v>140</v>
      </c>
      <c r="AA51" t="s">
        <v>94</v>
      </c>
      <c r="AL51" t="s">
        <v>141</v>
      </c>
      <c r="AM51" t="s">
        <v>135</v>
      </c>
      <c r="AN51" s="82" t="s">
        <v>104</v>
      </c>
    </row>
    <row r="52" spans="5:40" x14ac:dyDescent="0.2">
      <c r="E52" t="s">
        <v>142</v>
      </c>
      <c r="J52" t="s">
        <v>87</v>
      </c>
      <c r="K52" s="21">
        <v>46508</v>
      </c>
      <c r="L52" s="21">
        <v>46508</v>
      </c>
      <c r="Z52" t="s">
        <v>140</v>
      </c>
      <c r="AA52" t="s">
        <v>94</v>
      </c>
      <c r="AL52" t="s">
        <v>141</v>
      </c>
      <c r="AM52" t="s">
        <v>135</v>
      </c>
    </row>
    <row r="53" spans="5:40" x14ac:dyDescent="0.2">
      <c r="E53" t="s">
        <v>143</v>
      </c>
      <c r="J53" t="s">
        <v>87</v>
      </c>
      <c r="K53" s="21">
        <v>46539</v>
      </c>
      <c r="L53" s="21">
        <v>46539</v>
      </c>
      <c r="Z53" t="s">
        <v>140</v>
      </c>
      <c r="AA53" t="s">
        <v>94</v>
      </c>
      <c r="AL53" t="s">
        <v>144</v>
      </c>
      <c r="AM53" t="s">
        <v>135</v>
      </c>
    </row>
    <row r="54" spans="5:40" x14ac:dyDescent="0.2">
      <c r="E54" t="s">
        <v>145</v>
      </c>
      <c r="J54" t="s">
        <v>87</v>
      </c>
      <c r="K54" s="21">
        <v>46569</v>
      </c>
      <c r="L54" s="21">
        <v>46569</v>
      </c>
      <c r="Z54" t="s">
        <v>140</v>
      </c>
      <c r="AA54" t="s">
        <v>94</v>
      </c>
      <c r="AL54" t="s">
        <v>141</v>
      </c>
      <c r="AM54" t="s">
        <v>135</v>
      </c>
    </row>
    <row r="55" spans="5:40" x14ac:dyDescent="0.2">
      <c r="E55" t="s">
        <v>146</v>
      </c>
      <c r="J55" t="s">
        <v>87</v>
      </c>
      <c r="K55" s="21">
        <v>46692</v>
      </c>
      <c r="L55" s="21">
        <v>46692</v>
      </c>
      <c r="Z55" t="s">
        <v>140</v>
      </c>
      <c r="AA55" t="s">
        <v>94</v>
      </c>
      <c r="AL55" t="s">
        <v>141</v>
      </c>
      <c r="AM55" t="s">
        <v>135</v>
      </c>
    </row>
    <row r="56" spans="5:40" x14ac:dyDescent="0.2">
      <c r="E56" t="s">
        <v>147</v>
      </c>
      <c r="J56" t="s">
        <v>87</v>
      </c>
      <c r="K56" s="81">
        <v>46388</v>
      </c>
      <c r="L56" s="81">
        <v>46388</v>
      </c>
      <c r="Z56" t="s">
        <v>140</v>
      </c>
      <c r="AA56" t="s">
        <v>94</v>
      </c>
      <c r="AL56" t="s">
        <v>141</v>
      </c>
      <c r="AM56" t="s">
        <v>138</v>
      </c>
    </row>
    <row r="57" spans="5:40" x14ac:dyDescent="0.2">
      <c r="E57" t="s">
        <v>148</v>
      </c>
      <c r="J57" t="s">
        <v>87</v>
      </c>
      <c r="K57" s="21">
        <v>46419</v>
      </c>
      <c r="L57" s="21">
        <v>46419</v>
      </c>
      <c r="Z57" t="s">
        <v>140</v>
      </c>
      <c r="AA57" t="s">
        <v>94</v>
      </c>
      <c r="AL57" t="s">
        <v>149</v>
      </c>
      <c r="AM57" t="s">
        <v>150</v>
      </c>
    </row>
    <row r="58" spans="5:40" x14ac:dyDescent="0.2">
      <c r="E58" t="s">
        <v>151</v>
      </c>
      <c r="J58" t="s">
        <v>87</v>
      </c>
      <c r="K58" s="21">
        <v>46661</v>
      </c>
      <c r="L58" s="21">
        <v>46661</v>
      </c>
      <c r="Z58" t="s">
        <v>140</v>
      </c>
      <c r="AA58" t="s">
        <v>94</v>
      </c>
      <c r="AL58" t="s">
        <v>149</v>
      </c>
      <c r="AM58" t="s">
        <v>150</v>
      </c>
    </row>
    <row r="59" spans="5:40" x14ac:dyDescent="0.2">
      <c r="E59" t="s">
        <v>152</v>
      </c>
      <c r="J59" t="s">
        <v>87</v>
      </c>
      <c r="K59" s="21">
        <v>46692</v>
      </c>
      <c r="L59" s="21">
        <v>46692</v>
      </c>
      <c r="Z59" t="s">
        <v>140</v>
      </c>
      <c r="AA59" t="s">
        <v>94</v>
      </c>
      <c r="AL59" t="s">
        <v>149</v>
      </c>
      <c r="AM59" t="s">
        <v>150</v>
      </c>
    </row>
    <row r="60" spans="5:40" x14ac:dyDescent="0.2">
      <c r="E60" t="s">
        <v>153</v>
      </c>
      <c r="F60" t="s">
        <v>154</v>
      </c>
      <c r="J60" t="s">
        <v>87</v>
      </c>
      <c r="K60" s="21">
        <v>46569</v>
      </c>
      <c r="L60" s="21">
        <v>46569</v>
      </c>
      <c r="Z60" t="s">
        <v>140</v>
      </c>
      <c r="AA60" t="s">
        <v>94</v>
      </c>
      <c r="AL60" t="s">
        <v>155</v>
      </c>
      <c r="AM60" t="s">
        <v>150</v>
      </c>
    </row>
    <row r="61" spans="5:40" x14ac:dyDescent="0.2">
      <c r="E61" t="s">
        <v>156</v>
      </c>
      <c r="F61" t="s">
        <v>157</v>
      </c>
      <c r="J61" t="s">
        <v>87</v>
      </c>
      <c r="K61" s="21">
        <v>46419</v>
      </c>
      <c r="L61" s="21">
        <v>46419</v>
      </c>
      <c r="Z61" t="s">
        <v>158</v>
      </c>
      <c r="AA61" t="s">
        <v>94</v>
      </c>
      <c r="AM61" t="s">
        <v>150</v>
      </c>
    </row>
    <row r="62" spans="5:40" x14ac:dyDescent="0.2">
      <c r="E62" t="s">
        <v>159</v>
      </c>
      <c r="J62" t="s">
        <v>87</v>
      </c>
      <c r="K62" s="21">
        <v>46447</v>
      </c>
      <c r="L62" s="21">
        <v>46447</v>
      </c>
      <c r="Z62" t="s">
        <v>158</v>
      </c>
      <c r="AA62" t="s">
        <v>94</v>
      </c>
      <c r="AM62" t="s">
        <v>150</v>
      </c>
    </row>
    <row r="63" spans="5:40" x14ac:dyDescent="0.2">
      <c r="E63" t="s">
        <v>160</v>
      </c>
      <c r="J63" t="s">
        <v>87</v>
      </c>
      <c r="K63" s="21">
        <v>46478</v>
      </c>
      <c r="L63" s="21">
        <v>46478</v>
      </c>
      <c r="Z63" t="s">
        <v>158</v>
      </c>
      <c r="AA63" t="s">
        <v>94</v>
      </c>
      <c r="AM63" t="s">
        <v>135</v>
      </c>
    </row>
    <row r="64" spans="5:40" ht="16" x14ac:dyDescent="0.2">
      <c r="E64" t="s">
        <v>161</v>
      </c>
      <c r="F64" s="83" t="s">
        <v>162</v>
      </c>
      <c r="J64" t="s">
        <v>87</v>
      </c>
      <c r="K64" s="21">
        <v>46508</v>
      </c>
      <c r="L64" s="21">
        <v>46508</v>
      </c>
      <c r="Z64" t="s">
        <v>158</v>
      </c>
      <c r="AA64" t="s">
        <v>94</v>
      </c>
      <c r="AM64" t="s">
        <v>135</v>
      </c>
    </row>
    <row r="65" spans="5:39" ht="16" x14ac:dyDescent="0.2">
      <c r="E65" t="s">
        <v>163</v>
      </c>
      <c r="F65" s="83" t="s">
        <v>162</v>
      </c>
      <c r="J65" t="s">
        <v>87</v>
      </c>
      <c r="K65" s="21">
        <v>46508</v>
      </c>
      <c r="L65" s="21">
        <v>46508</v>
      </c>
      <c r="Z65" t="s">
        <v>158</v>
      </c>
      <c r="AA65" t="s">
        <v>94</v>
      </c>
      <c r="AM65" t="s">
        <v>138</v>
      </c>
    </row>
    <row r="66" spans="5:39" ht="16" x14ac:dyDescent="0.2">
      <c r="E66" s="83" t="s">
        <v>164</v>
      </c>
      <c r="F66" t="s">
        <v>165</v>
      </c>
      <c r="J66" t="s">
        <v>87</v>
      </c>
      <c r="K66" s="21">
        <v>46508</v>
      </c>
      <c r="L66" s="21">
        <v>46508</v>
      </c>
      <c r="Z66" t="s">
        <v>158</v>
      </c>
      <c r="AA66" t="s">
        <v>94</v>
      </c>
      <c r="AL66" t="s">
        <v>166</v>
      </c>
      <c r="AM66" t="s">
        <v>132</v>
      </c>
    </row>
    <row r="67" spans="5:39" x14ac:dyDescent="0.2">
      <c r="E67" t="s">
        <v>167</v>
      </c>
      <c r="J67" t="s">
        <v>87</v>
      </c>
      <c r="K67" s="21">
        <v>46539</v>
      </c>
      <c r="L67" s="21">
        <v>46539</v>
      </c>
      <c r="Z67" t="s">
        <v>158</v>
      </c>
      <c r="AA67" t="s">
        <v>94</v>
      </c>
      <c r="AM67" t="s">
        <v>135</v>
      </c>
    </row>
    <row r="68" spans="5:39" x14ac:dyDescent="0.2">
      <c r="E68" t="s">
        <v>168</v>
      </c>
      <c r="F68" t="s">
        <v>169</v>
      </c>
      <c r="J68" t="s">
        <v>87</v>
      </c>
      <c r="K68" s="21">
        <v>46569</v>
      </c>
      <c r="L68" s="21">
        <v>46569</v>
      </c>
      <c r="Z68" t="s">
        <v>158</v>
      </c>
      <c r="AA68" t="s">
        <v>94</v>
      </c>
      <c r="AM68" t="s">
        <v>170</v>
      </c>
    </row>
    <row r="69" spans="5:39" x14ac:dyDescent="0.2">
      <c r="E69" t="s">
        <v>159</v>
      </c>
      <c r="J69" t="s">
        <v>87</v>
      </c>
      <c r="K69" s="21">
        <v>46692</v>
      </c>
      <c r="L69" s="21">
        <v>46692</v>
      </c>
      <c r="Z69" t="s">
        <v>158</v>
      </c>
      <c r="AA69" t="s">
        <v>94</v>
      </c>
      <c r="AM69" t="s">
        <v>150</v>
      </c>
    </row>
    <row r="70" spans="5:39" ht="16" x14ac:dyDescent="0.2">
      <c r="E70" t="s">
        <v>161</v>
      </c>
      <c r="F70" s="83" t="s">
        <v>162</v>
      </c>
      <c r="J70" t="s">
        <v>87</v>
      </c>
      <c r="K70" s="21">
        <v>46631</v>
      </c>
      <c r="L70" s="21">
        <v>46631</v>
      </c>
      <c r="Z70" t="s">
        <v>158</v>
      </c>
      <c r="AA70" t="s">
        <v>94</v>
      </c>
      <c r="AM70" t="s">
        <v>135</v>
      </c>
    </row>
    <row r="71" spans="5:39" ht="16" x14ac:dyDescent="0.2">
      <c r="E71" t="s">
        <v>163</v>
      </c>
      <c r="F71" s="83" t="s">
        <v>162</v>
      </c>
      <c r="J71" t="s">
        <v>87</v>
      </c>
      <c r="K71" s="21">
        <v>46631</v>
      </c>
      <c r="L71" s="21">
        <v>46631</v>
      </c>
      <c r="Z71" t="s">
        <v>158</v>
      </c>
      <c r="AA71" t="s">
        <v>94</v>
      </c>
      <c r="AM71" t="s">
        <v>138</v>
      </c>
    </row>
    <row r="72" spans="5:39" ht="16" x14ac:dyDescent="0.2">
      <c r="E72" s="83" t="s">
        <v>164</v>
      </c>
      <c r="F72" t="s">
        <v>165</v>
      </c>
      <c r="J72" t="s">
        <v>87</v>
      </c>
      <c r="K72" s="21">
        <v>46661</v>
      </c>
      <c r="L72" s="21">
        <v>46661</v>
      </c>
      <c r="Z72" t="s">
        <v>158</v>
      </c>
      <c r="AA72" t="s">
        <v>94</v>
      </c>
      <c r="AL72" t="s">
        <v>166</v>
      </c>
      <c r="AM72" t="s">
        <v>132</v>
      </c>
    </row>
    <row r="73" spans="5:39" x14ac:dyDescent="0.2">
      <c r="E73" t="s">
        <v>171</v>
      </c>
      <c r="F73" t="s">
        <v>172</v>
      </c>
      <c r="J73" t="s">
        <v>87</v>
      </c>
      <c r="K73" s="21">
        <v>46661</v>
      </c>
      <c r="L73" s="21">
        <v>46661</v>
      </c>
      <c r="Z73" t="s">
        <v>158</v>
      </c>
      <c r="AA73" t="s">
        <v>94</v>
      </c>
      <c r="AL73" t="s">
        <v>173</v>
      </c>
      <c r="AM73" t="s">
        <v>132</v>
      </c>
    </row>
    <row r="74" spans="5:39" x14ac:dyDescent="0.2">
      <c r="E74" t="s">
        <v>174</v>
      </c>
      <c r="J74" t="s">
        <v>87</v>
      </c>
      <c r="K74" s="21">
        <v>46661</v>
      </c>
      <c r="L74" s="21">
        <v>46661</v>
      </c>
      <c r="Z74" t="s">
        <v>158</v>
      </c>
      <c r="AA74" t="s">
        <v>94</v>
      </c>
      <c r="AM74" t="s">
        <v>135</v>
      </c>
    </row>
    <row r="75" spans="5:39" ht="16" x14ac:dyDescent="0.2">
      <c r="E75" t="s">
        <v>175</v>
      </c>
      <c r="F75" s="83" t="s">
        <v>176</v>
      </c>
      <c r="J75" t="s">
        <v>87</v>
      </c>
      <c r="K75" s="21">
        <v>46447</v>
      </c>
      <c r="L75" s="21">
        <v>46447</v>
      </c>
      <c r="Z75" t="s">
        <v>158</v>
      </c>
      <c r="AA75" t="s">
        <v>94</v>
      </c>
      <c r="AL75" t="s">
        <v>177</v>
      </c>
      <c r="AM75" t="s">
        <v>150</v>
      </c>
    </row>
    <row r="76" spans="5:39" ht="16" x14ac:dyDescent="0.2">
      <c r="E76" t="s">
        <v>175</v>
      </c>
      <c r="F76" s="83" t="s">
        <v>176</v>
      </c>
      <c r="J76" t="s">
        <v>87</v>
      </c>
      <c r="K76" s="21">
        <v>46508</v>
      </c>
      <c r="L76" s="21">
        <v>46508</v>
      </c>
      <c r="Z76" t="s">
        <v>158</v>
      </c>
      <c r="AA76" t="s">
        <v>94</v>
      </c>
      <c r="AL76" t="s">
        <v>177</v>
      </c>
      <c r="AM76" t="s">
        <v>150</v>
      </c>
    </row>
    <row r="77" spans="5:39" ht="16" x14ac:dyDescent="0.2">
      <c r="E77" t="s">
        <v>175</v>
      </c>
      <c r="F77" s="83" t="s">
        <v>176</v>
      </c>
      <c r="J77" t="s">
        <v>87</v>
      </c>
      <c r="K77" s="21">
        <v>46569</v>
      </c>
      <c r="L77" s="21">
        <v>46569</v>
      </c>
      <c r="Z77" t="s">
        <v>158</v>
      </c>
      <c r="AA77" t="s">
        <v>94</v>
      </c>
      <c r="AL77" t="s">
        <v>177</v>
      </c>
      <c r="AM77" t="s">
        <v>150</v>
      </c>
    </row>
    <row r="78" spans="5:39" ht="16" x14ac:dyDescent="0.2">
      <c r="E78" t="s">
        <v>175</v>
      </c>
      <c r="F78" s="83" t="s">
        <v>176</v>
      </c>
      <c r="J78" t="s">
        <v>87</v>
      </c>
      <c r="K78" s="21">
        <v>46631</v>
      </c>
      <c r="L78" s="21">
        <v>46631</v>
      </c>
      <c r="Z78" t="s">
        <v>158</v>
      </c>
      <c r="AA78" t="s">
        <v>94</v>
      </c>
      <c r="AL78" t="s">
        <v>177</v>
      </c>
      <c r="AM78" t="s">
        <v>150</v>
      </c>
    </row>
    <row r="79" spans="5:39" ht="16" x14ac:dyDescent="0.2">
      <c r="E79" t="s">
        <v>175</v>
      </c>
      <c r="F79" s="83" t="s">
        <v>176</v>
      </c>
      <c r="J79" t="s">
        <v>87</v>
      </c>
      <c r="K79" s="21">
        <v>46692</v>
      </c>
      <c r="L79" s="21">
        <v>46692</v>
      </c>
      <c r="Z79" t="s">
        <v>158</v>
      </c>
      <c r="AA79" t="s">
        <v>94</v>
      </c>
      <c r="AL79" t="s">
        <v>177</v>
      </c>
      <c r="AM79" t="s">
        <v>150</v>
      </c>
    </row>
    <row r="80" spans="5:39" ht="16" x14ac:dyDescent="0.2">
      <c r="E80" s="83"/>
    </row>
    <row r="84" spans="5:5" ht="16" x14ac:dyDescent="0.2">
      <c r="E84" s="83"/>
    </row>
    <row r="85" spans="5:5" ht="16" x14ac:dyDescent="0.2">
      <c r="E85" s="83"/>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F1039-4336-4094-B015-1E406A12A287}">
  <dimension ref="A1:BE42"/>
  <sheetViews>
    <sheetView showGridLines="0" tabSelected="1" topLeftCell="A5" workbookViewId="0">
      <selection activeCell="V7" sqref="V7"/>
    </sheetView>
  </sheetViews>
  <sheetFormatPr baseColWidth="10" defaultColWidth="8.83203125" defaultRowHeight="15" x14ac:dyDescent="0.2"/>
  <cols>
    <col min="1" max="1" width="24" customWidth="1"/>
    <col min="2" max="2" width="38" customWidth="1"/>
    <col min="3" max="4" width="18" customWidth="1"/>
    <col min="5" max="57" width="5" customWidth="1"/>
  </cols>
  <sheetData>
    <row r="1" spans="1:57" ht="30" customHeight="1" x14ac:dyDescent="0.2">
      <c r="A1" s="110" t="s">
        <v>178</v>
      </c>
      <c r="B1" s="111"/>
      <c r="C1" s="111"/>
      <c r="D1" s="111"/>
      <c r="E1" s="111"/>
      <c r="F1" s="111"/>
      <c r="G1" s="111"/>
      <c r="H1" s="111"/>
      <c r="I1" s="111"/>
      <c r="J1" s="111"/>
      <c r="K1" s="111"/>
      <c r="L1" s="111"/>
      <c r="M1" s="111"/>
      <c r="N1" s="111"/>
      <c r="O1" s="111"/>
      <c r="P1" s="111"/>
      <c r="Q1" s="111"/>
      <c r="R1" s="111"/>
      <c r="S1" s="111"/>
      <c r="T1" s="111"/>
      <c r="U1" s="111"/>
      <c r="V1" s="111"/>
      <c r="W1" s="111"/>
      <c r="X1" s="111"/>
      <c r="Y1" s="111"/>
      <c r="Z1" s="111"/>
      <c r="AA1" s="111"/>
      <c r="AB1" s="111"/>
      <c r="AC1" s="111"/>
      <c r="AD1" s="111"/>
      <c r="AE1" s="111"/>
      <c r="AF1" s="111"/>
      <c r="AG1" s="111"/>
      <c r="AH1" s="111"/>
      <c r="AI1" s="111"/>
      <c r="AJ1" s="111"/>
      <c r="AK1" s="111"/>
      <c r="AL1" s="111"/>
      <c r="AM1" s="111"/>
      <c r="AN1" s="111"/>
      <c r="AO1" s="111"/>
      <c r="AP1" s="111"/>
      <c r="AQ1" s="111"/>
      <c r="AR1" s="111"/>
      <c r="AS1" s="111"/>
      <c r="AT1" s="111"/>
      <c r="AU1" s="111"/>
      <c r="AV1" s="111"/>
      <c r="AW1" s="111"/>
      <c r="AX1" s="111"/>
      <c r="AY1" s="111"/>
      <c r="AZ1" s="111"/>
      <c r="BA1" s="111"/>
      <c r="BB1" s="111"/>
      <c r="BC1" s="111"/>
      <c r="BD1" s="111"/>
      <c r="BE1" s="111"/>
    </row>
    <row r="2" spans="1:57" ht="30" customHeight="1" x14ac:dyDescent="0.2">
      <c r="A2" s="112" t="s">
        <v>179</v>
      </c>
      <c r="B2" s="111"/>
      <c r="C2" s="111"/>
      <c r="D2" s="111"/>
      <c r="E2" s="111"/>
      <c r="F2" s="111"/>
      <c r="G2" s="111"/>
      <c r="H2" s="111"/>
      <c r="I2" s="111"/>
      <c r="J2" s="111"/>
      <c r="K2" s="111"/>
      <c r="L2" s="111"/>
      <c r="M2" s="111"/>
      <c r="N2" s="111"/>
      <c r="O2" s="111"/>
      <c r="P2" s="111"/>
      <c r="Q2" s="111"/>
      <c r="R2" s="111"/>
      <c r="S2" s="111"/>
      <c r="T2" s="111"/>
      <c r="U2" s="111"/>
      <c r="V2" s="111"/>
      <c r="W2" s="111"/>
      <c r="X2" s="111"/>
      <c r="Y2" s="111"/>
      <c r="Z2" s="111"/>
      <c r="AA2" s="111"/>
      <c r="AB2" s="111"/>
      <c r="AC2" s="111"/>
      <c r="AD2" s="111"/>
      <c r="AE2" s="111"/>
      <c r="AF2" s="111"/>
      <c r="AG2" s="111"/>
      <c r="AH2" s="111"/>
      <c r="AI2" s="111"/>
      <c r="AJ2" s="111"/>
      <c r="AK2" s="111"/>
      <c r="AL2" s="111"/>
      <c r="AM2" s="111"/>
      <c r="AN2" s="111"/>
      <c r="AO2" s="111"/>
      <c r="AP2" s="111"/>
      <c r="AQ2" s="111"/>
      <c r="AR2" s="111"/>
      <c r="AS2" s="111"/>
      <c r="AT2" s="111"/>
      <c r="AU2" s="111"/>
      <c r="AV2" s="111"/>
      <c r="AW2" s="111"/>
      <c r="AX2" s="111"/>
      <c r="AY2" s="111"/>
      <c r="AZ2" s="111"/>
      <c r="BA2" s="111"/>
      <c r="BB2" s="111"/>
      <c r="BC2" s="111"/>
      <c r="BD2" s="111"/>
      <c r="BE2" s="111"/>
    </row>
    <row r="4" spans="1:57" ht="62" customHeight="1" x14ac:dyDescent="0.2">
      <c r="A4" s="84" t="s">
        <v>180</v>
      </c>
      <c r="B4" s="84" t="s">
        <v>181</v>
      </c>
      <c r="C4" s="84" t="s">
        <v>182</v>
      </c>
      <c r="D4" s="84" t="s">
        <v>183</v>
      </c>
      <c r="E4" s="85" t="s">
        <v>184</v>
      </c>
      <c r="F4" s="85" t="s">
        <v>185</v>
      </c>
      <c r="G4" s="85" t="s">
        <v>186</v>
      </c>
      <c r="H4" s="85" t="s">
        <v>187</v>
      </c>
      <c r="I4" s="85" t="s">
        <v>188</v>
      </c>
      <c r="J4" s="85" t="s">
        <v>189</v>
      </c>
      <c r="K4" s="85" t="s">
        <v>190</v>
      </c>
      <c r="L4" s="85" t="s">
        <v>191</v>
      </c>
      <c r="M4" s="85" t="s">
        <v>192</v>
      </c>
      <c r="N4" s="85" t="s">
        <v>193</v>
      </c>
      <c r="O4" s="85" t="s">
        <v>194</v>
      </c>
      <c r="P4" s="85" t="s">
        <v>195</v>
      </c>
      <c r="Q4" s="85" t="s">
        <v>196</v>
      </c>
      <c r="R4" s="85" t="s">
        <v>197</v>
      </c>
      <c r="S4" s="85" t="s">
        <v>198</v>
      </c>
      <c r="T4" s="85" t="s">
        <v>199</v>
      </c>
      <c r="U4" s="85" t="s">
        <v>200</v>
      </c>
      <c r="V4" s="85" t="s">
        <v>201</v>
      </c>
      <c r="W4" s="85" t="s">
        <v>202</v>
      </c>
      <c r="X4" s="85" t="s">
        <v>203</v>
      </c>
      <c r="Y4" s="85" t="s">
        <v>204</v>
      </c>
      <c r="Z4" s="85" t="s">
        <v>205</v>
      </c>
      <c r="AA4" s="85" t="s">
        <v>206</v>
      </c>
      <c r="AB4" s="85" t="s">
        <v>207</v>
      </c>
      <c r="AC4" s="85" t="s">
        <v>208</v>
      </c>
      <c r="AD4" s="85" t="s">
        <v>209</v>
      </c>
      <c r="AE4" s="85" t="s">
        <v>210</v>
      </c>
      <c r="AF4" s="85" t="s">
        <v>211</v>
      </c>
      <c r="AG4" s="85" t="s">
        <v>212</v>
      </c>
      <c r="AH4" s="85" t="s">
        <v>213</v>
      </c>
      <c r="AI4" s="85" t="s">
        <v>214</v>
      </c>
      <c r="AJ4" s="85" t="s">
        <v>215</v>
      </c>
      <c r="AK4" s="85" t="s">
        <v>216</v>
      </c>
      <c r="AL4" s="85" t="s">
        <v>217</v>
      </c>
      <c r="AM4" s="85" t="s">
        <v>218</v>
      </c>
      <c r="AN4" s="85" t="s">
        <v>219</v>
      </c>
      <c r="AO4" s="85" t="s">
        <v>220</v>
      </c>
      <c r="AP4" s="85" t="s">
        <v>221</v>
      </c>
      <c r="AQ4" s="85" t="s">
        <v>222</v>
      </c>
      <c r="AR4" s="85" t="s">
        <v>223</v>
      </c>
      <c r="AS4" s="85" t="s">
        <v>224</v>
      </c>
      <c r="AT4" s="85" t="s">
        <v>225</v>
      </c>
      <c r="AU4" s="85" t="s">
        <v>226</v>
      </c>
      <c r="AV4" s="85" t="s">
        <v>227</v>
      </c>
      <c r="AW4" s="85" t="s">
        <v>228</v>
      </c>
      <c r="AX4" s="85" t="s">
        <v>229</v>
      </c>
      <c r="AY4" s="85" t="s">
        <v>230</v>
      </c>
      <c r="AZ4" s="85" t="s">
        <v>231</v>
      </c>
      <c r="BA4" s="85" t="s">
        <v>232</v>
      </c>
      <c r="BB4" s="85" t="s">
        <v>233</v>
      </c>
      <c r="BC4" s="85" t="s">
        <v>234</v>
      </c>
      <c r="BD4" s="85" t="s">
        <v>235</v>
      </c>
      <c r="BE4" s="85" t="s">
        <v>236</v>
      </c>
    </row>
    <row r="5" spans="1:57" ht="31" customHeight="1" x14ac:dyDescent="0.2">
      <c r="A5" s="86" t="s">
        <v>309</v>
      </c>
      <c r="B5" s="86" t="s">
        <v>310</v>
      </c>
      <c r="C5" s="87">
        <v>46388</v>
      </c>
      <c r="D5" s="87">
        <v>46388</v>
      </c>
      <c r="E5" s="92" t="s">
        <v>311</v>
      </c>
      <c r="F5" s="88"/>
      <c r="G5" s="88"/>
      <c r="H5" s="88"/>
      <c r="I5" s="88"/>
      <c r="J5" s="88"/>
      <c r="K5" s="88"/>
      <c r="L5" s="88"/>
      <c r="M5" s="88"/>
      <c r="N5" s="88"/>
      <c r="O5" s="88"/>
      <c r="P5" s="88"/>
      <c r="Q5" s="88"/>
      <c r="R5" s="88"/>
      <c r="S5" s="88"/>
      <c r="T5" s="88"/>
      <c r="U5" s="88"/>
      <c r="V5" s="88"/>
      <c r="W5" s="88"/>
      <c r="X5" s="88"/>
      <c r="Y5" s="88"/>
      <c r="Z5" s="88"/>
      <c r="AA5" s="88"/>
      <c r="AB5" s="88"/>
      <c r="AC5" s="88"/>
      <c r="AD5" s="88"/>
      <c r="AE5" s="88"/>
      <c r="AF5" s="88"/>
      <c r="AG5" s="88"/>
      <c r="AH5" s="88"/>
      <c r="AI5" s="88"/>
      <c r="AJ5" s="88"/>
      <c r="AK5" s="88"/>
      <c r="AL5" s="88"/>
      <c r="AM5" s="88"/>
      <c r="AN5" s="88"/>
      <c r="AO5" s="88"/>
      <c r="AP5" s="88"/>
      <c r="AQ5" s="88"/>
      <c r="AR5" s="88"/>
      <c r="AS5" s="88"/>
      <c r="AT5" s="88"/>
      <c r="AU5" s="88"/>
      <c r="AV5" s="88"/>
      <c r="AW5" s="88"/>
      <c r="AX5" s="88"/>
      <c r="AY5" s="88"/>
      <c r="AZ5" s="88"/>
      <c r="BA5" s="88"/>
      <c r="BB5" s="88"/>
      <c r="BC5" s="88"/>
      <c r="BD5" s="88"/>
      <c r="BE5" s="88"/>
    </row>
    <row r="6" spans="1:57" ht="31" customHeight="1" x14ac:dyDescent="0.2">
      <c r="A6" s="86" t="s">
        <v>301</v>
      </c>
      <c r="B6" s="86" t="s">
        <v>302</v>
      </c>
      <c r="C6" s="87">
        <v>46408</v>
      </c>
      <c r="D6" s="87">
        <v>46408</v>
      </c>
      <c r="E6" s="88"/>
      <c r="F6" s="88"/>
      <c r="G6" s="88"/>
      <c r="H6" s="91" t="s">
        <v>303</v>
      </c>
      <c r="I6" s="88"/>
      <c r="J6" s="88"/>
      <c r="K6" s="88"/>
      <c r="L6" s="88"/>
      <c r="M6" s="88"/>
      <c r="N6" s="88"/>
      <c r="O6" s="88"/>
      <c r="P6" s="88"/>
      <c r="Q6" s="88"/>
      <c r="R6" s="88"/>
      <c r="S6" s="88"/>
      <c r="T6" s="88"/>
      <c r="U6" s="88"/>
      <c r="V6" s="88"/>
      <c r="W6" s="88"/>
      <c r="X6" s="88"/>
      <c r="Y6" s="88"/>
      <c r="Z6" s="88"/>
      <c r="AA6" s="88"/>
      <c r="AB6" s="88"/>
      <c r="AC6" s="88"/>
      <c r="AD6" s="88"/>
      <c r="AE6" s="88"/>
      <c r="AF6" s="88"/>
      <c r="AG6" s="88"/>
      <c r="AH6" s="88"/>
      <c r="AI6" s="88"/>
      <c r="AJ6" s="88"/>
      <c r="AK6" s="88"/>
      <c r="AL6" s="88"/>
      <c r="AM6" s="88"/>
      <c r="AN6" s="88"/>
      <c r="AO6" s="88"/>
      <c r="AP6" s="88"/>
      <c r="AQ6" s="88"/>
      <c r="AR6" s="88"/>
      <c r="AS6" s="88"/>
      <c r="AT6" s="88"/>
      <c r="AU6" s="88"/>
      <c r="AV6" s="88"/>
      <c r="AW6" s="88"/>
      <c r="AX6" s="88"/>
      <c r="AY6" s="88"/>
      <c r="AZ6" s="88"/>
      <c r="BA6" s="88"/>
      <c r="BB6" s="88"/>
      <c r="BC6" s="88"/>
      <c r="BD6" s="88"/>
      <c r="BE6" s="88"/>
    </row>
    <row r="7" spans="1:57" ht="31" customHeight="1" x14ac:dyDescent="0.2">
      <c r="A7" s="86" t="s">
        <v>301</v>
      </c>
      <c r="B7" s="86" t="s">
        <v>302</v>
      </c>
      <c r="C7" s="87">
        <v>46409</v>
      </c>
      <c r="D7" s="87">
        <v>46409</v>
      </c>
      <c r="E7" s="88"/>
      <c r="F7" s="88"/>
      <c r="G7" s="88"/>
      <c r="H7" s="91" t="s">
        <v>304</v>
      </c>
      <c r="I7" s="88"/>
      <c r="J7" s="88"/>
      <c r="K7" s="88"/>
      <c r="L7" s="88"/>
      <c r="M7" s="88"/>
      <c r="N7" s="88"/>
      <c r="O7" s="88"/>
      <c r="P7" s="88"/>
      <c r="Q7" s="88"/>
      <c r="R7" s="88"/>
      <c r="S7" s="88"/>
      <c r="T7" s="88"/>
      <c r="U7" s="88"/>
      <c r="V7" s="8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88"/>
      <c r="AX7" s="88"/>
      <c r="AY7" s="88"/>
      <c r="AZ7" s="88"/>
      <c r="BA7" s="88"/>
      <c r="BB7" s="88"/>
      <c r="BC7" s="88"/>
      <c r="BD7" s="88"/>
      <c r="BE7" s="88"/>
    </row>
    <row r="8" spans="1:57" ht="31" customHeight="1" x14ac:dyDescent="0.2">
      <c r="A8" s="86" t="s">
        <v>301</v>
      </c>
      <c r="B8" s="86" t="s">
        <v>302</v>
      </c>
      <c r="C8" s="87">
        <v>46412</v>
      </c>
      <c r="D8" s="87">
        <v>46412</v>
      </c>
      <c r="E8" s="88"/>
      <c r="F8" s="88"/>
      <c r="G8" s="88"/>
      <c r="H8" s="88"/>
      <c r="I8" s="91" t="s">
        <v>305</v>
      </c>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row>
    <row r="9" spans="1:57" ht="31" customHeight="1" x14ac:dyDescent="0.2">
      <c r="A9" s="86" t="s">
        <v>309</v>
      </c>
      <c r="B9" s="86" t="s">
        <v>312</v>
      </c>
      <c r="C9" s="87">
        <v>46413</v>
      </c>
      <c r="D9" s="87">
        <v>46413</v>
      </c>
      <c r="E9" s="88"/>
      <c r="F9" s="88"/>
      <c r="G9" s="88"/>
      <c r="H9" s="88"/>
      <c r="I9" s="92" t="s">
        <v>313</v>
      </c>
      <c r="J9" s="88"/>
      <c r="K9" s="88"/>
      <c r="L9" s="88"/>
      <c r="M9" s="88"/>
      <c r="N9" s="88"/>
      <c r="O9" s="88"/>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88"/>
      <c r="AW9" s="88"/>
      <c r="AX9" s="88"/>
      <c r="AY9" s="88"/>
      <c r="AZ9" s="88"/>
      <c r="BA9" s="88"/>
      <c r="BB9" s="88"/>
      <c r="BC9" s="88"/>
      <c r="BD9" s="88"/>
      <c r="BE9" s="88"/>
    </row>
    <row r="10" spans="1:57" ht="31" customHeight="1" x14ac:dyDescent="0.2">
      <c r="A10" s="86" t="s">
        <v>237</v>
      </c>
      <c r="B10" s="86" t="s">
        <v>238</v>
      </c>
      <c r="C10" s="87">
        <v>46414</v>
      </c>
      <c r="D10" s="87">
        <v>46471</v>
      </c>
      <c r="E10" s="88"/>
      <c r="F10" s="88"/>
      <c r="G10" s="88"/>
      <c r="H10" s="88"/>
      <c r="I10" s="89" t="s">
        <v>239</v>
      </c>
      <c r="J10" s="89" t="s">
        <v>240</v>
      </c>
      <c r="K10" s="89" t="s">
        <v>241</v>
      </c>
      <c r="L10" s="89" t="s">
        <v>242</v>
      </c>
      <c r="M10" s="89" t="s">
        <v>243</v>
      </c>
      <c r="N10" s="89" t="s">
        <v>244</v>
      </c>
      <c r="O10" s="89" t="s">
        <v>245</v>
      </c>
      <c r="P10" s="89" t="s">
        <v>246</v>
      </c>
      <c r="Q10" s="89" t="s">
        <v>247</v>
      </c>
      <c r="R10" s="88"/>
      <c r="S10" s="88"/>
      <c r="T10" s="88"/>
      <c r="U10" s="88"/>
      <c r="V10" s="88"/>
      <c r="W10" s="88"/>
      <c r="X10" s="88"/>
      <c r="Y10" s="88"/>
      <c r="Z10" s="88"/>
      <c r="AA10" s="88"/>
      <c r="AB10" s="88"/>
      <c r="AC10" s="88"/>
      <c r="AD10" s="88"/>
      <c r="AE10" s="88"/>
      <c r="AF10" s="88"/>
      <c r="AG10" s="88"/>
      <c r="AH10" s="88"/>
      <c r="AI10" s="88"/>
      <c r="AJ10" s="88"/>
      <c r="AK10" s="88"/>
      <c r="AL10" s="88"/>
      <c r="AM10" s="88"/>
      <c r="AN10" s="88"/>
      <c r="AO10" s="88"/>
      <c r="AP10" s="88"/>
      <c r="AQ10" s="88"/>
      <c r="AR10" s="88"/>
      <c r="AS10" s="88"/>
      <c r="AT10" s="88"/>
      <c r="AU10" s="88"/>
      <c r="AV10" s="88"/>
      <c r="AW10" s="88"/>
      <c r="AX10" s="88"/>
      <c r="AY10" s="88"/>
      <c r="AZ10" s="88"/>
      <c r="BA10" s="88"/>
      <c r="BB10" s="88"/>
      <c r="BC10" s="88"/>
      <c r="BD10" s="88"/>
      <c r="BE10" s="88"/>
    </row>
    <row r="11" spans="1:57" ht="31" customHeight="1" x14ac:dyDescent="0.2">
      <c r="A11" s="86"/>
      <c r="B11" s="125" t="s">
        <v>1008</v>
      </c>
      <c r="C11" s="87"/>
      <c r="D11" s="87"/>
      <c r="E11" s="88"/>
      <c r="F11" s="88"/>
      <c r="G11" s="88"/>
      <c r="H11" s="88"/>
      <c r="I11" s="124"/>
      <c r="J11" s="124"/>
      <c r="K11" s="124"/>
      <c r="L11" s="124"/>
      <c r="M11" s="124"/>
      <c r="N11" s="126"/>
      <c r="O11" s="124"/>
      <c r="P11" s="124"/>
      <c r="Q11" s="124"/>
      <c r="R11" s="88"/>
      <c r="S11" s="88"/>
      <c r="T11" s="88"/>
      <c r="U11" s="88"/>
      <c r="V11" s="88"/>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c r="AZ11" s="88"/>
      <c r="BA11" s="88"/>
      <c r="BB11" s="88"/>
      <c r="BC11" s="88"/>
      <c r="BD11" s="88"/>
      <c r="BE11" s="88"/>
    </row>
    <row r="12" spans="1:57" ht="31" customHeight="1" x14ac:dyDescent="0.2">
      <c r="A12" s="86" t="s">
        <v>248</v>
      </c>
      <c r="B12" s="86" t="s">
        <v>249</v>
      </c>
      <c r="C12" s="87">
        <v>46472</v>
      </c>
      <c r="D12" s="87">
        <v>46488</v>
      </c>
      <c r="E12" s="88"/>
      <c r="F12" s="88"/>
      <c r="G12" s="88"/>
      <c r="H12" s="88"/>
      <c r="I12" s="88"/>
      <c r="J12" s="88"/>
      <c r="K12" s="88"/>
      <c r="L12" s="88"/>
      <c r="M12" s="88"/>
      <c r="N12" s="88"/>
      <c r="O12" s="88"/>
      <c r="P12" s="88"/>
      <c r="Q12" s="90" t="s">
        <v>250</v>
      </c>
      <c r="R12" s="90" t="s">
        <v>251</v>
      </c>
      <c r="S12" s="90" t="s">
        <v>252</v>
      </c>
      <c r="T12" s="88"/>
      <c r="U12" s="88"/>
      <c r="V12" s="8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c r="AZ12" s="88"/>
      <c r="BA12" s="88"/>
      <c r="BB12" s="88"/>
      <c r="BC12" s="88"/>
      <c r="BD12" s="88"/>
      <c r="BE12" s="88"/>
    </row>
    <row r="13" spans="1:57" ht="31" customHeight="1" x14ac:dyDescent="0.2">
      <c r="A13" s="86" t="s">
        <v>309</v>
      </c>
      <c r="B13" s="86" t="s">
        <v>314</v>
      </c>
      <c r="C13" s="87">
        <v>46472</v>
      </c>
      <c r="D13" s="87">
        <v>46472</v>
      </c>
      <c r="E13" s="88"/>
      <c r="F13" s="88"/>
      <c r="G13" s="88"/>
      <c r="H13" s="88"/>
      <c r="I13" s="88"/>
      <c r="J13" s="88"/>
      <c r="K13" s="88"/>
      <c r="L13" s="88"/>
      <c r="M13" s="88"/>
      <c r="N13" s="88"/>
      <c r="O13" s="88"/>
      <c r="P13" s="88"/>
      <c r="Q13" s="92" t="s">
        <v>315</v>
      </c>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c r="AZ13" s="88"/>
      <c r="BA13" s="88"/>
      <c r="BB13" s="88"/>
      <c r="BC13" s="88"/>
      <c r="BD13" s="88"/>
      <c r="BE13" s="88"/>
    </row>
    <row r="14" spans="1:57" ht="31" customHeight="1" x14ac:dyDescent="0.2">
      <c r="A14" s="86" t="s">
        <v>309</v>
      </c>
      <c r="B14" s="86" t="s">
        <v>316</v>
      </c>
      <c r="C14" s="87">
        <v>46473</v>
      </c>
      <c r="D14" s="87">
        <v>46473</v>
      </c>
      <c r="E14" s="88"/>
      <c r="F14" s="88"/>
      <c r="G14" s="88"/>
      <c r="H14" s="88"/>
      <c r="I14" s="88"/>
      <c r="J14" s="88"/>
      <c r="K14" s="88"/>
      <c r="L14" s="88"/>
      <c r="M14" s="88"/>
      <c r="N14" s="88"/>
      <c r="O14" s="88"/>
      <c r="P14" s="88"/>
      <c r="Q14" s="92" t="s">
        <v>317</v>
      </c>
      <c r="R14" s="88"/>
      <c r="S14" s="88"/>
      <c r="T14" s="88"/>
      <c r="U14" s="8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c r="AZ14" s="88"/>
      <c r="BA14" s="88"/>
      <c r="BB14" s="88"/>
      <c r="BC14" s="88"/>
      <c r="BD14" s="88"/>
      <c r="BE14" s="88"/>
    </row>
    <row r="15" spans="1:57" ht="31" customHeight="1" x14ac:dyDescent="0.2">
      <c r="A15" s="86" t="s">
        <v>309</v>
      </c>
      <c r="B15" s="86" t="s">
        <v>318</v>
      </c>
      <c r="C15" s="87">
        <v>46474</v>
      </c>
      <c r="D15" s="87">
        <v>46474</v>
      </c>
      <c r="E15" s="88"/>
      <c r="F15" s="88"/>
      <c r="G15" s="88"/>
      <c r="H15" s="88"/>
      <c r="I15" s="88"/>
      <c r="J15" s="88"/>
      <c r="K15" s="88"/>
      <c r="L15" s="88"/>
      <c r="M15" s="88"/>
      <c r="N15" s="88"/>
      <c r="O15" s="88"/>
      <c r="P15" s="88"/>
      <c r="Q15" s="92" t="s">
        <v>319</v>
      </c>
      <c r="R15" s="88"/>
      <c r="S15" s="88"/>
      <c r="T15" s="88"/>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c r="AZ15" s="88"/>
      <c r="BA15" s="88"/>
      <c r="BB15" s="88"/>
      <c r="BC15" s="88"/>
      <c r="BD15" s="88"/>
      <c r="BE15" s="88"/>
    </row>
    <row r="16" spans="1:57" ht="31" customHeight="1" x14ac:dyDescent="0.2">
      <c r="A16" s="86" t="s">
        <v>309</v>
      </c>
      <c r="B16" s="86" t="s">
        <v>320</v>
      </c>
      <c r="C16" s="87">
        <v>46475</v>
      </c>
      <c r="D16" s="87">
        <v>46475</v>
      </c>
      <c r="E16" s="88"/>
      <c r="F16" s="88"/>
      <c r="G16" s="88"/>
      <c r="H16" s="88"/>
      <c r="I16" s="88"/>
      <c r="J16" s="88"/>
      <c r="K16" s="88"/>
      <c r="L16" s="88"/>
      <c r="M16" s="88"/>
      <c r="N16" s="88"/>
      <c r="O16" s="88"/>
      <c r="P16" s="88"/>
      <c r="Q16" s="88"/>
      <c r="R16" s="92" t="s">
        <v>321</v>
      </c>
      <c r="S16" s="88"/>
      <c r="T16" s="88"/>
      <c r="U16" s="88"/>
      <c r="V16" s="8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c r="AZ16" s="88"/>
      <c r="BA16" s="88"/>
      <c r="BB16" s="88"/>
      <c r="BC16" s="88"/>
      <c r="BD16" s="88"/>
      <c r="BE16" s="88"/>
    </row>
    <row r="17" spans="1:57" ht="31" customHeight="1" x14ac:dyDescent="0.2">
      <c r="A17" s="86" t="s">
        <v>301</v>
      </c>
      <c r="B17" s="86" t="s">
        <v>302</v>
      </c>
      <c r="C17" s="87">
        <v>46485</v>
      </c>
      <c r="D17" s="87">
        <v>46485</v>
      </c>
      <c r="E17" s="88"/>
      <c r="F17" s="88"/>
      <c r="G17" s="88"/>
      <c r="H17" s="88"/>
      <c r="I17" s="88"/>
      <c r="J17" s="88"/>
      <c r="K17" s="88"/>
      <c r="L17" s="88"/>
      <c r="M17" s="88"/>
      <c r="N17" s="88"/>
      <c r="O17" s="88"/>
      <c r="P17" s="88"/>
      <c r="Q17" s="88"/>
      <c r="R17" s="88"/>
      <c r="S17" s="91" t="s">
        <v>306</v>
      </c>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88"/>
      <c r="BB17" s="88"/>
      <c r="BC17" s="88"/>
      <c r="BD17" s="88"/>
      <c r="BE17" s="88"/>
    </row>
    <row r="18" spans="1:57" ht="31" customHeight="1" x14ac:dyDescent="0.2">
      <c r="A18" s="86" t="s">
        <v>301</v>
      </c>
      <c r="B18" s="86" t="s">
        <v>302</v>
      </c>
      <c r="C18" s="87">
        <v>46486</v>
      </c>
      <c r="D18" s="87">
        <v>46486</v>
      </c>
      <c r="E18" s="88"/>
      <c r="F18" s="88"/>
      <c r="G18" s="88"/>
      <c r="H18" s="88"/>
      <c r="I18" s="88"/>
      <c r="J18" s="88"/>
      <c r="K18" s="88"/>
      <c r="L18" s="88"/>
      <c r="M18" s="88"/>
      <c r="N18" s="88"/>
      <c r="O18" s="88"/>
      <c r="P18" s="88"/>
      <c r="Q18" s="88"/>
      <c r="R18" s="88"/>
      <c r="S18" s="91" t="s">
        <v>307</v>
      </c>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88"/>
      <c r="BB18" s="88"/>
      <c r="BC18" s="88"/>
      <c r="BD18" s="88"/>
      <c r="BE18" s="88"/>
    </row>
    <row r="19" spans="1:57" ht="31" customHeight="1" x14ac:dyDescent="0.2">
      <c r="A19" s="86" t="s">
        <v>237</v>
      </c>
      <c r="B19" s="86" t="s">
        <v>253</v>
      </c>
      <c r="C19" s="87">
        <v>46489</v>
      </c>
      <c r="D19" s="87">
        <v>46563</v>
      </c>
      <c r="E19" s="88"/>
      <c r="F19" s="88"/>
      <c r="G19" s="88"/>
      <c r="H19" s="88"/>
      <c r="I19" s="88"/>
      <c r="J19" s="88"/>
      <c r="K19" s="88"/>
      <c r="L19" s="88"/>
      <c r="M19" s="88"/>
      <c r="N19" s="88"/>
      <c r="O19" s="88"/>
      <c r="P19" s="88"/>
      <c r="Q19" s="88"/>
      <c r="R19" s="88"/>
      <c r="S19" s="88"/>
      <c r="T19" s="89" t="s">
        <v>254</v>
      </c>
      <c r="U19" s="89" t="s">
        <v>255</v>
      </c>
      <c r="V19" s="89" t="s">
        <v>256</v>
      </c>
      <c r="W19" s="89" t="s">
        <v>257</v>
      </c>
      <c r="X19" s="89" t="s">
        <v>258</v>
      </c>
      <c r="Y19" s="89" t="s">
        <v>259</v>
      </c>
      <c r="Z19" s="89" t="s">
        <v>260</v>
      </c>
      <c r="AA19" s="89" t="s">
        <v>261</v>
      </c>
      <c r="AB19" s="89" t="s">
        <v>262</v>
      </c>
      <c r="AC19" s="89" t="s">
        <v>263</v>
      </c>
      <c r="AD19" s="89" t="s">
        <v>264</v>
      </c>
      <c r="AE19" s="88"/>
      <c r="AF19" s="88"/>
      <c r="AG19" s="88"/>
      <c r="AH19" s="88"/>
      <c r="AI19" s="88"/>
      <c r="AJ19" s="88"/>
      <c r="AK19" s="88"/>
      <c r="AL19" s="88"/>
      <c r="AM19" s="88"/>
      <c r="AN19" s="88"/>
      <c r="AO19" s="88"/>
      <c r="AP19" s="88"/>
      <c r="AQ19" s="88"/>
      <c r="AR19" s="88"/>
      <c r="AS19" s="88"/>
      <c r="AT19" s="88"/>
      <c r="AU19" s="88"/>
      <c r="AV19" s="88"/>
      <c r="AW19" s="88"/>
      <c r="AX19" s="88"/>
      <c r="AY19" s="88"/>
      <c r="AZ19" s="88"/>
      <c r="BA19" s="88"/>
      <c r="BB19" s="88"/>
      <c r="BC19" s="88"/>
      <c r="BD19" s="88"/>
      <c r="BE19" s="88"/>
    </row>
    <row r="20" spans="1:57" ht="31" customHeight="1" x14ac:dyDescent="0.2">
      <c r="A20" s="86" t="s">
        <v>309</v>
      </c>
      <c r="B20" s="86" t="s">
        <v>322</v>
      </c>
      <c r="C20" s="87">
        <v>46503</v>
      </c>
      <c r="D20" s="87">
        <v>46503</v>
      </c>
      <c r="E20" s="88"/>
      <c r="F20" s="88"/>
      <c r="G20" s="88"/>
      <c r="H20" s="88"/>
      <c r="I20" s="88"/>
      <c r="J20" s="88"/>
      <c r="K20" s="88"/>
      <c r="L20" s="88"/>
      <c r="M20" s="88"/>
      <c r="N20" s="88"/>
      <c r="O20" s="88"/>
      <c r="P20" s="88"/>
      <c r="Q20" s="88"/>
      <c r="R20" s="88"/>
      <c r="S20" s="88"/>
      <c r="T20" s="88"/>
      <c r="U20" s="88"/>
      <c r="V20" s="92" t="s">
        <v>323</v>
      </c>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c r="AZ20" s="88"/>
      <c r="BA20" s="88"/>
      <c r="BB20" s="88"/>
      <c r="BC20" s="88"/>
      <c r="BD20" s="88"/>
      <c r="BE20" s="88"/>
    </row>
    <row r="21" spans="1:57" ht="31" customHeight="1" x14ac:dyDescent="0.2">
      <c r="A21" s="86" t="s">
        <v>309</v>
      </c>
      <c r="B21" s="86" t="s">
        <v>324</v>
      </c>
      <c r="C21" s="87">
        <v>46510</v>
      </c>
      <c r="D21" s="87">
        <v>46510</v>
      </c>
      <c r="E21" s="88"/>
      <c r="F21" s="88"/>
      <c r="G21" s="88"/>
      <c r="H21" s="88"/>
      <c r="I21" s="88"/>
      <c r="J21" s="88"/>
      <c r="K21" s="88"/>
      <c r="L21" s="88"/>
      <c r="M21" s="88"/>
      <c r="N21" s="88"/>
      <c r="O21" s="88"/>
      <c r="P21" s="88"/>
      <c r="Q21" s="88"/>
      <c r="R21" s="88"/>
      <c r="S21" s="88"/>
      <c r="T21" s="88"/>
      <c r="U21" s="88"/>
      <c r="V21" s="88"/>
      <c r="W21" s="92" t="s">
        <v>325</v>
      </c>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c r="AZ21" s="88"/>
      <c r="BA21" s="88"/>
      <c r="BB21" s="88"/>
      <c r="BC21" s="88"/>
      <c r="BD21" s="88"/>
      <c r="BE21" s="88"/>
    </row>
    <row r="22" spans="1:57" ht="31" customHeight="1" x14ac:dyDescent="0.2">
      <c r="A22" s="86" t="s">
        <v>248</v>
      </c>
      <c r="B22" s="86" t="s">
        <v>265</v>
      </c>
      <c r="C22" s="87">
        <v>46564</v>
      </c>
      <c r="D22" s="87">
        <v>46579</v>
      </c>
      <c r="E22" s="88"/>
      <c r="F22" s="88"/>
      <c r="G22" s="88"/>
      <c r="H22" s="88"/>
      <c r="I22" s="88"/>
      <c r="J22" s="88"/>
      <c r="K22" s="88"/>
      <c r="L22" s="88"/>
      <c r="M22" s="88"/>
      <c r="N22" s="88"/>
      <c r="O22" s="88"/>
      <c r="P22" s="88"/>
      <c r="Q22" s="88"/>
      <c r="R22" s="88"/>
      <c r="S22" s="88"/>
      <c r="T22" s="88"/>
      <c r="U22" s="88"/>
      <c r="V22" s="88"/>
      <c r="W22" s="88"/>
      <c r="X22" s="88"/>
      <c r="Y22" s="88"/>
      <c r="Z22" s="88"/>
      <c r="AA22" s="88"/>
      <c r="AB22" s="88"/>
      <c r="AC22" s="88"/>
      <c r="AD22" s="90" t="s">
        <v>266</v>
      </c>
      <c r="AE22" s="90" t="s">
        <v>267</v>
      </c>
      <c r="AF22" s="90" t="s">
        <v>268</v>
      </c>
      <c r="AG22" s="88"/>
      <c r="AH22" s="88"/>
      <c r="AI22" s="88"/>
      <c r="AJ22" s="88"/>
      <c r="AK22" s="88"/>
      <c r="AL22" s="88"/>
      <c r="AM22" s="88"/>
      <c r="AN22" s="88"/>
      <c r="AO22" s="88"/>
      <c r="AP22" s="88"/>
      <c r="AQ22" s="88"/>
      <c r="AR22" s="88"/>
      <c r="AS22" s="88"/>
      <c r="AT22" s="88"/>
      <c r="AU22" s="88"/>
      <c r="AV22" s="88"/>
      <c r="AW22" s="88"/>
      <c r="AX22" s="88"/>
      <c r="AY22" s="88"/>
      <c r="AZ22" s="88"/>
      <c r="BA22" s="88"/>
      <c r="BB22" s="88"/>
      <c r="BC22" s="88"/>
      <c r="BD22" s="88"/>
      <c r="BE22" s="88"/>
    </row>
    <row r="23" spans="1:57" ht="31" customHeight="1" x14ac:dyDescent="0.2">
      <c r="A23" s="86" t="s">
        <v>237</v>
      </c>
      <c r="B23" s="86" t="s">
        <v>269</v>
      </c>
      <c r="C23" s="87">
        <v>46580</v>
      </c>
      <c r="D23" s="87">
        <v>46647</v>
      </c>
      <c r="E23" s="88"/>
      <c r="F23" s="88"/>
      <c r="G23" s="88"/>
      <c r="H23" s="88"/>
      <c r="I23" s="88"/>
      <c r="J23" s="88"/>
      <c r="K23" s="88"/>
      <c r="L23" s="88"/>
      <c r="M23" s="88"/>
      <c r="N23" s="88"/>
      <c r="O23" s="88"/>
      <c r="P23" s="88"/>
      <c r="Q23" s="88"/>
      <c r="R23" s="88"/>
      <c r="S23" s="88"/>
      <c r="T23" s="88"/>
      <c r="U23" s="88"/>
      <c r="V23" s="88"/>
      <c r="W23" s="88"/>
      <c r="X23" s="88"/>
      <c r="Y23" s="88"/>
      <c r="Z23" s="88"/>
      <c r="AA23" s="88"/>
      <c r="AB23" s="88"/>
      <c r="AC23" s="88"/>
      <c r="AD23" s="88"/>
      <c r="AE23" s="88"/>
      <c r="AF23" s="88"/>
      <c r="AG23" s="89" t="s">
        <v>270</v>
      </c>
      <c r="AH23" s="89" t="s">
        <v>271</v>
      </c>
      <c r="AI23" s="89" t="s">
        <v>272</v>
      </c>
      <c r="AJ23" s="89" t="s">
        <v>273</v>
      </c>
      <c r="AK23" s="89" t="s">
        <v>274</v>
      </c>
      <c r="AL23" s="89" t="s">
        <v>275</v>
      </c>
      <c r="AM23" s="89" t="s">
        <v>276</v>
      </c>
      <c r="AN23" s="89" t="s">
        <v>277</v>
      </c>
      <c r="AO23" s="89" t="s">
        <v>278</v>
      </c>
      <c r="AP23" s="89" t="s">
        <v>279</v>
      </c>
      <c r="AQ23" s="88"/>
      <c r="AR23" s="88"/>
      <c r="AS23" s="88"/>
      <c r="AT23" s="88"/>
      <c r="AU23" s="88"/>
      <c r="AV23" s="88"/>
      <c r="AW23" s="88"/>
      <c r="AX23" s="88"/>
      <c r="AY23" s="88"/>
      <c r="AZ23" s="88"/>
      <c r="BA23" s="88"/>
      <c r="BB23" s="88"/>
      <c r="BC23" s="88"/>
      <c r="BD23" s="88"/>
      <c r="BE23" s="88"/>
    </row>
    <row r="24" spans="1:57" ht="31" customHeight="1" x14ac:dyDescent="0.2">
      <c r="A24" s="86" t="s">
        <v>326</v>
      </c>
      <c r="B24" s="86" t="s">
        <v>327</v>
      </c>
      <c r="C24" s="87">
        <v>46610</v>
      </c>
      <c r="D24" s="87">
        <v>46610</v>
      </c>
      <c r="E24" s="88"/>
      <c r="F24" s="88"/>
      <c r="G24" s="88"/>
      <c r="H24" s="88"/>
      <c r="I24" s="88"/>
      <c r="J24" s="88"/>
      <c r="K24" s="88"/>
      <c r="L24" s="88"/>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93" t="s">
        <v>328</v>
      </c>
      <c r="AL24" s="88"/>
      <c r="AM24" s="88"/>
      <c r="AN24" s="88"/>
      <c r="AO24" s="88"/>
      <c r="AP24" s="88"/>
      <c r="AQ24" s="88"/>
      <c r="AR24" s="88"/>
      <c r="AS24" s="88"/>
      <c r="AT24" s="88"/>
      <c r="AU24" s="88"/>
      <c r="AV24" s="88"/>
      <c r="AW24" s="88"/>
      <c r="AX24" s="88"/>
      <c r="AY24" s="88"/>
      <c r="AZ24" s="88"/>
      <c r="BA24" s="88"/>
      <c r="BB24" s="88"/>
      <c r="BC24" s="88"/>
      <c r="BD24" s="88"/>
      <c r="BE24" s="88"/>
    </row>
    <row r="25" spans="1:57" ht="31" customHeight="1" x14ac:dyDescent="0.2">
      <c r="A25" s="86"/>
      <c r="B25" s="125" t="s">
        <v>1007</v>
      </c>
      <c r="C25" s="87"/>
      <c r="D25" s="87"/>
      <c r="E25" s="88"/>
      <c r="F25" s="88"/>
      <c r="G25" s="88"/>
      <c r="H25" s="88"/>
      <c r="I25" s="124"/>
      <c r="J25" s="124"/>
      <c r="K25" s="124"/>
      <c r="L25" s="124"/>
      <c r="M25" s="124"/>
      <c r="N25" s="124"/>
      <c r="O25" s="124"/>
      <c r="P25" s="124"/>
      <c r="Q25" s="124"/>
      <c r="R25" s="88"/>
      <c r="S25" s="88"/>
      <c r="T25" s="88"/>
      <c r="U25" s="88"/>
      <c r="V25" s="88"/>
      <c r="W25" s="88"/>
      <c r="X25" s="88"/>
      <c r="Y25" s="88"/>
      <c r="Z25" s="88"/>
      <c r="AA25" s="88"/>
      <c r="AB25" s="88"/>
      <c r="AC25" s="88"/>
      <c r="AD25" s="88"/>
      <c r="AE25" s="88"/>
      <c r="AF25" s="88"/>
      <c r="AG25" s="88"/>
      <c r="AH25" s="88"/>
      <c r="AI25" s="88"/>
      <c r="AJ25" s="88"/>
      <c r="AK25" s="88"/>
      <c r="AL25" s="127"/>
      <c r="AM25" s="88"/>
      <c r="AN25" s="88"/>
      <c r="AO25" s="88"/>
      <c r="AP25" s="88"/>
      <c r="AQ25" s="88"/>
      <c r="AR25" s="88"/>
      <c r="AS25" s="88"/>
      <c r="AT25" s="88"/>
      <c r="AU25" s="88"/>
      <c r="AV25" s="88"/>
      <c r="AW25" s="88"/>
      <c r="AX25" s="88"/>
      <c r="AY25" s="88"/>
      <c r="AZ25" s="88"/>
      <c r="BA25" s="88"/>
      <c r="BB25" s="88"/>
      <c r="BC25" s="88"/>
      <c r="BD25" s="88"/>
      <c r="BE25" s="88"/>
    </row>
    <row r="26" spans="1:57" ht="31" customHeight="1" x14ac:dyDescent="0.2">
      <c r="A26" s="86" t="s">
        <v>301</v>
      </c>
      <c r="B26" s="86" t="s">
        <v>302</v>
      </c>
      <c r="C26" s="87">
        <v>46633</v>
      </c>
      <c r="D26" s="87">
        <v>46633</v>
      </c>
      <c r="E26" s="88"/>
      <c r="F26" s="88"/>
      <c r="G26" s="88"/>
      <c r="H26" s="88"/>
      <c r="I26" s="88"/>
      <c r="J26" s="88"/>
      <c r="K26" s="88"/>
      <c r="L26" s="88"/>
      <c r="M26" s="88"/>
      <c r="N26" s="88"/>
      <c r="O26" s="88"/>
      <c r="P26" s="88"/>
      <c r="Q26" s="88"/>
      <c r="R26" s="88"/>
      <c r="S26" s="88"/>
      <c r="T26" s="88"/>
      <c r="U26" s="88"/>
      <c r="V26" s="88"/>
      <c r="W26" s="88"/>
      <c r="X26" s="88"/>
      <c r="Y26" s="88"/>
      <c r="Z26" s="88"/>
      <c r="AA26" s="88"/>
      <c r="AB26" s="88"/>
      <c r="AC26" s="88"/>
      <c r="AD26" s="88"/>
      <c r="AE26" s="88"/>
      <c r="AF26" s="88"/>
      <c r="AG26" s="88"/>
      <c r="AH26" s="88"/>
      <c r="AI26" s="88"/>
      <c r="AJ26" s="88"/>
      <c r="AK26" s="88"/>
      <c r="AL26" s="88"/>
      <c r="AM26" s="88"/>
      <c r="AN26" s="91" t="s">
        <v>308</v>
      </c>
      <c r="AO26" s="88"/>
      <c r="AP26" s="88"/>
      <c r="AQ26" s="88"/>
      <c r="AR26" s="88"/>
      <c r="AS26" s="88"/>
      <c r="AT26" s="88"/>
      <c r="AU26" s="88"/>
      <c r="AV26" s="88"/>
      <c r="AW26" s="88"/>
      <c r="AX26" s="88"/>
      <c r="AY26" s="88"/>
      <c r="AZ26" s="88"/>
      <c r="BA26" s="88"/>
      <c r="BB26" s="88"/>
      <c r="BC26" s="88"/>
      <c r="BD26" s="88"/>
      <c r="BE26" s="88"/>
    </row>
    <row r="27" spans="1:57" ht="31" customHeight="1" x14ac:dyDescent="0.2">
      <c r="A27" s="86" t="s">
        <v>248</v>
      </c>
      <c r="B27" s="86" t="s">
        <v>280</v>
      </c>
      <c r="C27" s="87">
        <v>46648</v>
      </c>
      <c r="D27" s="87">
        <v>46664</v>
      </c>
      <c r="E27" s="88"/>
      <c r="F27" s="88"/>
      <c r="G27" s="88"/>
      <c r="H27" s="88"/>
      <c r="I27" s="88"/>
      <c r="J27" s="88"/>
      <c r="K27" s="88"/>
      <c r="L27" s="88"/>
      <c r="M27" s="88"/>
      <c r="N27" s="88"/>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90" t="s">
        <v>281</v>
      </c>
      <c r="AQ27" s="90" t="s">
        <v>282</v>
      </c>
      <c r="AR27" s="90" t="s">
        <v>283</v>
      </c>
      <c r="AS27" s="90" t="s">
        <v>284</v>
      </c>
      <c r="AT27" s="88"/>
      <c r="AU27" s="88"/>
      <c r="AV27" s="88"/>
      <c r="AW27" s="88"/>
      <c r="AX27" s="88"/>
      <c r="AY27" s="88"/>
      <c r="AZ27" s="88"/>
      <c r="BA27" s="88"/>
      <c r="BB27" s="88"/>
      <c r="BC27" s="88"/>
      <c r="BD27" s="88"/>
      <c r="BE27" s="88"/>
    </row>
    <row r="28" spans="1:57" ht="31" customHeight="1" x14ac:dyDescent="0.2">
      <c r="A28" s="86" t="s">
        <v>309</v>
      </c>
      <c r="B28" s="86" t="s">
        <v>329</v>
      </c>
      <c r="C28" s="87">
        <v>46664</v>
      </c>
      <c r="D28" s="87">
        <v>46664</v>
      </c>
      <c r="E28" s="88"/>
      <c r="F28" s="88"/>
      <c r="G28" s="88"/>
      <c r="H28" s="88"/>
      <c r="I28" s="88"/>
      <c r="J28" s="88"/>
      <c r="K28" s="88"/>
      <c r="L28" s="88"/>
      <c r="M28" s="88"/>
      <c r="N28" s="88"/>
      <c r="O28" s="88"/>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92" t="s">
        <v>284</v>
      </c>
      <c r="AT28" s="88"/>
      <c r="AU28" s="88"/>
      <c r="AV28" s="88"/>
      <c r="AW28" s="88"/>
      <c r="AX28" s="88"/>
      <c r="AY28" s="88"/>
      <c r="AZ28" s="88"/>
      <c r="BA28" s="88"/>
      <c r="BB28" s="88"/>
      <c r="BC28" s="88"/>
      <c r="BD28" s="88"/>
      <c r="BE28" s="88"/>
    </row>
    <row r="29" spans="1:57" ht="31" customHeight="1" x14ac:dyDescent="0.2">
      <c r="A29" s="86" t="s">
        <v>237</v>
      </c>
      <c r="B29" s="86" t="s">
        <v>285</v>
      </c>
      <c r="C29" s="87">
        <v>46665</v>
      </c>
      <c r="D29" s="87">
        <v>46731</v>
      </c>
      <c r="E29" s="88"/>
      <c r="F29" s="88"/>
      <c r="G29" s="88"/>
      <c r="H29" s="88"/>
      <c r="I29" s="88"/>
      <c r="J29" s="88"/>
      <c r="K29" s="88"/>
      <c r="L29" s="88"/>
      <c r="M29" s="88"/>
      <c r="N29" s="88"/>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9" t="s">
        <v>286</v>
      </c>
      <c r="AT29" s="89" t="s">
        <v>287</v>
      </c>
      <c r="AU29" s="89" t="s">
        <v>288</v>
      </c>
      <c r="AV29" s="89" t="s">
        <v>289</v>
      </c>
      <c r="AW29" s="89" t="s">
        <v>290</v>
      </c>
      <c r="AX29" s="89" t="s">
        <v>291</v>
      </c>
      <c r="AY29" s="89" t="s">
        <v>292</v>
      </c>
      <c r="AZ29" s="89" t="s">
        <v>293</v>
      </c>
      <c r="BA29" s="89" t="s">
        <v>294</v>
      </c>
      <c r="BB29" s="89" t="s">
        <v>295</v>
      </c>
      <c r="BC29" s="88"/>
      <c r="BD29" s="88"/>
      <c r="BE29" s="88"/>
    </row>
    <row r="30" spans="1:57" ht="31" customHeight="1" x14ac:dyDescent="0.2">
      <c r="A30" s="86" t="s">
        <v>248</v>
      </c>
      <c r="B30" s="86" t="s">
        <v>296</v>
      </c>
      <c r="C30" s="87">
        <v>46732</v>
      </c>
      <c r="D30" s="87">
        <v>46775</v>
      </c>
      <c r="E30" s="88"/>
      <c r="F30" s="88"/>
      <c r="G30" s="88"/>
      <c r="H30" s="88"/>
      <c r="I30" s="88"/>
      <c r="J30" s="88"/>
      <c r="K30" s="88"/>
      <c r="L30" s="88"/>
      <c r="M30" s="88"/>
      <c r="N30" s="88"/>
      <c r="O30" s="88"/>
      <c r="P30" s="88"/>
      <c r="Q30" s="88"/>
      <c r="R30" s="88"/>
      <c r="S30" s="88"/>
      <c r="T30" s="88"/>
      <c r="U30" s="88"/>
      <c r="V30" s="88"/>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c r="AZ30" s="88"/>
      <c r="BA30" s="88"/>
      <c r="BB30" s="90" t="s">
        <v>297</v>
      </c>
      <c r="BC30" s="90" t="s">
        <v>298</v>
      </c>
      <c r="BD30" s="90" t="s">
        <v>299</v>
      </c>
      <c r="BE30" s="90" t="s">
        <v>300</v>
      </c>
    </row>
    <row r="31" spans="1:57" ht="31" customHeight="1" x14ac:dyDescent="0.2">
      <c r="A31" s="86" t="s">
        <v>330</v>
      </c>
      <c r="B31" s="86" t="s">
        <v>331</v>
      </c>
      <c r="C31" s="87">
        <v>46745</v>
      </c>
      <c r="D31" s="87">
        <v>46745</v>
      </c>
      <c r="E31" s="88"/>
      <c r="F31" s="88"/>
      <c r="G31" s="88"/>
      <c r="H31" s="88"/>
      <c r="I31" s="88"/>
      <c r="J31" s="88"/>
      <c r="K31" s="88"/>
      <c r="L31" s="88"/>
      <c r="M31" s="88"/>
      <c r="N31" s="88"/>
      <c r="O31" s="88"/>
      <c r="P31" s="88"/>
      <c r="Q31" s="88"/>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c r="AZ31" s="88"/>
      <c r="BA31" s="88"/>
      <c r="BB31" s="88"/>
      <c r="BC31" s="88"/>
      <c r="BD31" s="92" t="s">
        <v>332</v>
      </c>
      <c r="BE31" s="88"/>
    </row>
    <row r="32" spans="1:57" ht="31" customHeight="1" x14ac:dyDescent="0.2">
      <c r="A32" s="86" t="s">
        <v>309</v>
      </c>
      <c r="B32" s="86" t="s">
        <v>333</v>
      </c>
      <c r="C32" s="87">
        <v>46746</v>
      </c>
      <c r="D32" s="87">
        <v>46746</v>
      </c>
      <c r="E32" s="88"/>
      <c r="F32" s="88"/>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88"/>
      <c r="BB32" s="88"/>
      <c r="BC32" s="88"/>
      <c r="BD32" s="92" t="s">
        <v>334</v>
      </c>
      <c r="BE32" s="88"/>
    </row>
    <row r="33" spans="1:57" ht="31" customHeight="1" x14ac:dyDescent="0.2">
      <c r="A33" s="86" t="s">
        <v>309</v>
      </c>
      <c r="B33" s="86" t="s">
        <v>335</v>
      </c>
      <c r="C33" s="87">
        <v>46747</v>
      </c>
      <c r="D33" s="87">
        <v>46747</v>
      </c>
      <c r="E33" s="88"/>
      <c r="F33" s="88"/>
      <c r="G33" s="88"/>
      <c r="H33" s="88"/>
      <c r="I33" s="88"/>
      <c r="J33" s="88"/>
      <c r="K33" s="88"/>
      <c r="L33" s="88"/>
      <c r="M33" s="88"/>
      <c r="N33" s="88"/>
      <c r="O33" s="88"/>
      <c r="P33" s="88"/>
      <c r="Q33" s="88"/>
      <c r="R33" s="88"/>
      <c r="S33" s="88"/>
      <c r="T33" s="88"/>
      <c r="U33" s="88"/>
      <c r="V33" s="8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c r="AZ33" s="88"/>
      <c r="BA33" s="88"/>
      <c r="BB33" s="88"/>
      <c r="BC33" s="88"/>
      <c r="BD33" s="92" t="s">
        <v>336</v>
      </c>
      <c r="BE33" s="88"/>
    </row>
    <row r="34" spans="1:57" ht="31" customHeight="1" x14ac:dyDescent="0.2">
      <c r="A34" s="86" t="s">
        <v>309</v>
      </c>
      <c r="B34" s="86" t="s">
        <v>337</v>
      </c>
      <c r="C34" s="87">
        <v>46748</v>
      </c>
      <c r="D34" s="87">
        <v>46748</v>
      </c>
      <c r="E34" s="88"/>
      <c r="F34" s="88"/>
      <c r="G34" s="88"/>
      <c r="H34" s="88"/>
      <c r="I34" s="88"/>
      <c r="J34" s="88"/>
      <c r="K34" s="88"/>
      <c r="L34" s="88"/>
      <c r="M34" s="88"/>
      <c r="N34" s="88"/>
      <c r="O34" s="88"/>
      <c r="P34" s="88"/>
      <c r="Q34" s="88"/>
      <c r="R34" s="88"/>
      <c r="S34" s="88"/>
      <c r="T34" s="88"/>
      <c r="U34" s="88"/>
      <c r="V34" s="8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c r="AZ34" s="88"/>
      <c r="BA34" s="88"/>
      <c r="BB34" s="88"/>
      <c r="BC34" s="88"/>
      <c r="BD34" s="88"/>
      <c r="BE34" s="92" t="s">
        <v>338</v>
      </c>
    </row>
    <row r="35" spans="1:57" ht="31" customHeight="1" x14ac:dyDescent="0.2">
      <c r="A35" s="86" t="s">
        <v>309</v>
      </c>
      <c r="B35" s="86" t="s">
        <v>339</v>
      </c>
      <c r="C35" s="87">
        <v>46749</v>
      </c>
      <c r="D35" s="87">
        <v>46749</v>
      </c>
      <c r="E35" s="88"/>
      <c r="F35" s="88"/>
      <c r="G35" s="88"/>
      <c r="H35" s="88"/>
      <c r="I35" s="88"/>
      <c r="J35" s="88"/>
      <c r="K35" s="88"/>
      <c r="L35" s="88"/>
      <c r="M35" s="88"/>
      <c r="N35" s="88"/>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c r="AZ35" s="88"/>
      <c r="BA35" s="88"/>
      <c r="BB35" s="88"/>
      <c r="BC35" s="88"/>
      <c r="BD35" s="88"/>
      <c r="BE35" s="92" t="s">
        <v>340</v>
      </c>
    </row>
    <row r="37" spans="1:57" x14ac:dyDescent="0.2">
      <c r="A37" s="94" t="s">
        <v>2</v>
      </c>
    </row>
    <row r="38" spans="1:57" x14ac:dyDescent="0.2">
      <c r="A38" t="s">
        <v>237</v>
      </c>
      <c r="B38" s="95" t="s">
        <v>45</v>
      </c>
    </row>
    <row r="39" spans="1:57" x14ac:dyDescent="0.2">
      <c r="A39" t="s">
        <v>248</v>
      </c>
      <c r="B39" s="96" t="s">
        <v>45</v>
      </c>
    </row>
    <row r="40" spans="1:57" x14ac:dyDescent="0.2">
      <c r="A40" t="s">
        <v>301</v>
      </c>
      <c r="B40" s="97" t="s">
        <v>45</v>
      </c>
    </row>
    <row r="41" spans="1:57" x14ac:dyDescent="0.2">
      <c r="A41" t="s">
        <v>309</v>
      </c>
      <c r="B41" s="98" t="s">
        <v>45</v>
      </c>
    </row>
    <row r="42" spans="1:57" x14ac:dyDescent="0.2">
      <c r="A42" t="s">
        <v>326</v>
      </c>
      <c r="B42" s="99" t="s">
        <v>45</v>
      </c>
    </row>
  </sheetData>
  <sortState xmlns:xlrd2="http://schemas.microsoft.com/office/spreadsheetml/2017/richdata2" ref="A5:BE35">
    <sortCondition ref="C5:C35"/>
  </sortState>
  <mergeCells count="2">
    <mergeCell ref="A1:BE1"/>
    <mergeCell ref="A2:BE2"/>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F669E-01D6-40C4-8A46-A7CBC3087209}">
  <dimension ref="A1:G34"/>
  <sheetViews>
    <sheetView showGridLines="0" workbookViewId="0">
      <selection activeCell="D28" sqref="D28"/>
    </sheetView>
  </sheetViews>
  <sheetFormatPr baseColWidth="10" defaultColWidth="8.83203125" defaultRowHeight="15" x14ac:dyDescent="0.2"/>
  <cols>
    <col min="1" max="1" width="26" customWidth="1"/>
    <col min="2" max="2" width="40" customWidth="1"/>
    <col min="3" max="4" width="20" customWidth="1"/>
    <col min="5" max="5" width="18" customWidth="1"/>
    <col min="6" max="6" width="62" customWidth="1"/>
    <col min="7" max="7" width="55" customWidth="1"/>
  </cols>
  <sheetData>
    <row r="1" spans="1:7" ht="21" x14ac:dyDescent="0.25">
      <c r="A1" s="123" t="s">
        <v>341</v>
      </c>
      <c r="B1" s="111"/>
      <c r="C1" s="111"/>
      <c r="D1" s="111"/>
      <c r="E1" s="111"/>
      <c r="F1" s="111"/>
      <c r="G1" s="111"/>
    </row>
    <row r="3" spans="1:7" ht="16" x14ac:dyDescent="0.2">
      <c r="A3" s="100" t="s">
        <v>180</v>
      </c>
      <c r="B3" s="100" t="s">
        <v>4</v>
      </c>
      <c r="C3" s="100" t="s">
        <v>342</v>
      </c>
      <c r="D3" s="100" t="s">
        <v>343</v>
      </c>
      <c r="E3" s="100" t="s">
        <v>344</v>
      </c>
      <c r="F3" s="100" t="s">
        <v>345</v>
      </c>
      <c r="G3" s="100" t="s">
        <v>346</v>
      </c>
    </row>
    <row r="4" spans="1:7" ht="16" x14ac:dyDescent="0.2">
      <c r="A4" s="101" t="s">
        <v>237</v>
      </c>
      <c r="B4" s="102" t="s">
        <v>238</v>
      </c>
      <c r="C4" s="103">
        <v>46414</v>
      </c>
      <c r="D4" s="103">
        <v>46471</v>
      </c>
      <c r="E4" s="102">
        <v>58</v>
      </c>
      <c r="F4" s="102" t="s">
        <v>347</v>
      </c>
      <c r="G4" s="104" t="s">
        <v>348</v>
      </c>
    </row>
    <row r="5" spans="1:7" ht="16" x14ac:dyDescent="0.2">
      <c r="A5" s="105" t="s">
        <v>248</v>
      </c>
      <c r="B5" s="102" t="s">
        <v>249</v>
      </c>
      <c r="C5" s="103">
        <v>46472</v>
      </c>
      <c r="D5" s="103">
        <v>46488</v>
      </c>
      <c r="E5" s="102">
        <v>17</v>
      </c>
      <c r="F5" s="102" t="s">
        <v>347</v>
      </c>
      <c r="G5" s="104" t="s">
        <v>348</v>
      </c>
    </row>
    <row r="6" spans="1:7" ht="16" x14ac:dyDescent="0.2">
      <c r="A6" s="101" t="s">
        <v>237</v>
      </c>
      <c r="B6" s="102" t="s">
        <v>253</v>
      </c>
      <c r="C6" s="103">
        <v>46489</v>
      </c>
      <c r="D6" s="103">
        <v>46563</v>
      </c>
      <c r="E6" s="102">
        <v>75</v>
      </c>
      <c r="F6" s="102" t="s">
        <v>347</v>
      </c>
      <c r="G6" s="104" t="s">
        <v>348</v>
      </c>
    </row>
    <row r="7" spans="1:7" ht="16" x14ac:dyDescent="0.2">
      <c r="A7" s="105" t="s">
        <v>248</v>
      </c>
      <c r="B7" s="102" t="s">
        <v>265</v>
      </c>
      <c r="C7" s="103">
        <v>46564</v>
      </c>
      <c r="D7" s="103">
        <v>46579</v>
      </c>
      <c r="E7" s="102">
        <v>16</v>
      </c>
      <c r="F7" s="102" t="s">
        <v>347</v>
      </c>
      <c r="G7" s="104" t="s">
        <v>348</v>
      </c>
    </row>
    <row r="8" spans="1:7" ht="16" x14ac:dyDescent="0.2">
      <c r="A8" s="101" t="s">
        <v>237</v>
      </c>
      <c r="B8" s="102" t="s">
        <v>269</v>
      </c>
      <c r="C8" s="103">
        <v>46580</v>
      </c>
      <c r="D8" s="103">
        <v>46647</v>
      </c>
      <c r="E8" s="102">
        <v>68</v>
      </c>
      <c r="F8" s="102" t="s">
        <v>347</v>
      </c>
      <c r="G8" s="104" t="s">
        <v>348</v>
      </c>
    </row>
    <row r="9" spans="1:7" ht="16" x14ac:dyDescent="0.2">
      <c r="A9" s="105" t="s">
        <v>248</v>
      </c>
      <c r="B9" s="102" t="s">
        <v>280</v>
      </c>
      <c r="C9" s="103">
        <v>46648</v>
      </c>
      <c r="D9" s="103">
        <v>46664</v>
      </c>
      <c r="E9" s="102">
        <v>17</v>
      </c>
      <c r="F9" s="102" t="s">
        <v>347</v>
      </c>
      <c r="G9" s="104" t="s">
        <v>348</v>
      </c>
    </row>
    <row r="10" spans="1:7" ht="16" x14ac:dyDescent="0.2">
      <c r="A10" s="101" t="s">
        <v>237</v>
      </c>
      <c r="B10" s="102" t="s">
        <v>285</v>
      </c>
      <c r="C10" s="103">
        <v>46665</v>
      </c>
      <c r="D10" s="103">
        <v>46731</v>
      </c>
      <c r="E10" s="102">
        <v>67</v>
      </c>
      <c r="F10" s="102" t="s">
        <v>347</v>
      </c>
      <c r="G10" s="104" t="s">
        <v>348</v>
      </c>
    </row>
    <row r="11" spans="1:7" ht="16" x14ac:dyDescent="0.2">
      <c r="A11" s="105" t="s">
        <v>248</v>
      </c>
      <c r="B11" s="102" t="s">
        <v>296</v>
      </c>
      <c r="C11" s="103">
        <v>46732</v>
      </c>
      <c r="D11" s="103">
        <v>46775</v>
      </c>
      <c r="E11" s="102">
        <v>44</v>
      </c>
      <c r="F11" s="102" t="s">
        <v>347</v>
      </c>
      <c r="G11" s="104" t="s">
        <v>348</v>
      </c>
    </row>
    <row r="12" spans="1:7" ht="16" x14ac:dyDescent="0.2">
      <c r="A12" s="106" t="s">
        <v>301</v>
      </c>
      <c r="B12" s="102" t="s">
        <v>302</v>
      </c>
      <c r="C12" s="103">
        <v>46408</v>
      </c>
      <c r="D12" s="103">
        <v>46408</v>
      </c>
      <c r="E12" s="102">
        <v>1</v>
      </c>
      <c r="F12" s="102" t="s">
        <v>347</v>
      </c>
      <c r="G12" s="104" t="s">
        <v>348</v>
      </c>
    </row>
    <row r="13" spans="1:7" ht="16" x14ac:dyDescent="0.2">
      <c r="A13" s="106" t="s">
        <v>301</v>
      </c>
      <c r="B13" s="102" t="s">
        <v>302</v>
      </c>
      <c r="C13" s="103">
        <v>46409</v>
      </c>
      <c r="D13" s="103">
        <v>46409</v>
      </c>
      <c r="E13" s="102">
        <v>1</v>
      </c>
      <c r="F13" s="102" t="s">
        <v>347</v>
      </c>
      <c r="G13" s="104" t="s">
        <v>348</v>
      </c>
    </row>
    <row r="14" spans="1:7" ht="16" x14ac:dyDescent="0.2">
      <c r="A14" s="106" t="s">
        <v>301</v>
      </c>
      <c r="B14" s="102" t="s">
        <v>302</v>
      </c>
      <c r="C14" s="103">
        <v>46412</v>
      </c>
      <c r="D14" s="103">
        <v>46412</v>
      </c>
      <c r="E14" s="102">
        <v>1</v>
      </c>
      <c r="F14" s="102" t="s">
        <v>347</v>
      </c>
      <c r="G14" s="104" t="s">
        <v>348</v>
      </c>
    </row>
    <row r="15" spans="1:7" ht="16" x14ac:dyDescent="0.2">
      <c r="A15" s="106" t="s">
        <v>301</v>
      </c>
      <c r="B15" s="102" t="s">
        <v>302</v>
      </c>
      <c r="C15" s="103">
        <v>46485</v>
      </c>
      <c r="D15" s="103">
        <v>46485</v>
      </c>
      <c r="E15" s="102">
        <v>1</v>
      </c>
      <c r="F15" s="102" t="s">
        <v>347</v>
      </c>
      <c r="G15" s="104" t="s">
        <v>348</v>
      </c>
    </row>
    <row r="16" spans="1:7" ht="16" x14ac:dyDescent="0.2">
      <c r="A16" s="106" t="s">
        <v>301</v>
      </c>
      <c r="B16" s="102" t="s">
        <v>302</v>
      </c>
      <c r="C16" s="103">
        <v>46486</v>
      </c>
      <c r="D16" s="103">
        <v>46486</v>
      </c>
      <c r="E16" s="102">
        <v>1</v>
      </c>
      <c r="F16" s="102" t="s">
        <v>347</v>
      </c>
      <c r="G16" s="104" t="s">
        <v>348</v>
      </c>
    </row>
    <row r="17" spans="1:7" ht="16" x14ac:dyDescent="0.2">
      <c r="A17" s="106" t="s">
        <v>301</v>
      </c>
      <c r="B17" s="102" t="s">
        <v>302</v>
      </c>
      <c r="C17" s="103">
        <v>46633</v>
      </c>
      <c r="D17" s="103">
        <v>46633</v>
      </c>
      <c r="E17" s="102">
        <v>1</v>
      </c>
      <c r="F17" s="102" t="s">
        <v>347</v>
      </c>
      <c r="G17" s="104" t="s">
        <v>348</v>
      </c>
    </row>
    <row r="18" spans="1:7" ht="16" x14ac:dyDescent="0.2">
      <c r="A18" s="107" t="s">
        <v>309</v>
      </c>
      <c r="B18" s="102" t="s">
        <v>310</v>
      </c>
      <c r="C18" s="103">
        <v>46388</v>
      </c>
      <c r="D18" s="103">
        <v>46388</v>
      </c>
      <c r="E18" s="102">
        <v>1</v>
      </c>
      <c r="F18" s="102" t="s">
        <v>349</v>
      </c>
      <c r="G18" s="104" t="s">
        <v>348</v>
      </c>
    </row>
    <row r="19" spans="1:7" ht="16" x14ac:dyDescent="0.2">
      <c r="A19" s="107" t="s">
        <v>309</v>
      </c>
      <c r="B19" s="102" t="s">
        <v>312</v>
      </c>
      <c r="C19" s="103">
        <v>46413</v>
      </c>
      <c r="D19" s="103">
        <v>46413</v>
      </c>
      <c r="E19" s="102">
        <v>1</v>
      </c>
      <c r="F19" s="102" t="s">
        <v>349</v>
      </c>
      <c r="G19" s="104" t="s">
        <v>348</v>
      </c>
    </row>
    <row r="20" spans="1:7" ht="16" x14ac:dyDescent="0.2">
      <c r="A20" s="107" t="s">
        <v>309</v>
      </c>
      <c r="B20" s="102" t="s">
        <v>314</v>
      </c>
      <c r="C20" s="103">
        <v>46472</v>
      </c>
      <c r="D20" s="103">
        <v>46472</v>
      </c>
      <c r="E20" s="102">
        <v>1</v>
      </c>
      <c r="F20" s="102" t="s">
        <v>349</v>
      </c>
      <c r="G20" s="104" t="s">
        <v>348</v>
      </c>
    </row>
    <row r="21" spans="1:7" ht="16" x14ac:dyDescent="0.2">
      <c r="A21" s="107" t="s">
        <v>309</v>
      </c>
      <c r="B21" s="102" t="s">
        <v>316</v>
      </c>
      <c r="C21" s="103">
        <v>46473</v>
      </c>
      <c r="D21" s="103">
        <v>46473</v>
      </c>
      <c r="E21" s="102">
        <v>1</v>
      </c>
      <c r="F21" s="102" t="s">
        <v>349</v>
      </c>
      <c r="G21" s="104" t="s">
        <v>348</v>
      </c>
    </row>
    <row r="22" spans="1:7" ht="16" x14ac:dyDescent="0.2">
      <c r="A22" s="107" t="s">
        <v>309</v>
      </c>
      <c r="B22" s="102" t="s">
        <v>318</v>
      </c>
      <c r="C22" s="103">
        <v>46474</v>
      </c>
      <c r="D22" s="103">
        <v>46474</v>
      </c>
      <c r="E22" s="102">
        <v>1</v>
      </c>
      <c r="F22" s="102" t="s">
        <v>349</v>
      </c>
      <c r="G22" s="104" t="s">
        <v>348</v>
      </c>
    </row>
    <row r="23" spans="1:7" ht="16" x14ac:dyDescent="0.2">
      <c r="A23" s="107" t="s">
        <v>309</v>
      </c>
      <c r="B23" s="102" t="s">
        <v>320</v>
      </c>
      <c r="C23" s="103">
        <v>46475</v>
      </c>
      <c r="D23" s="103">
        <v>46475</v>
      </c>
      <c r="E23" s="102">
        <v>1</v>
      </c>
      <c r="F23" s="102" t="s">
        <v>349</v>
      </c>
      <c r="G23" s="104" t="s">
        <v>348</v>
      </c>
    </row>
    <row r="24" spans="1:7" ht="16" x14ac:dyDescent="0.2">
      <c r="A24" s="107" t="s">
        <v>309</v>
      </c>
      <c r="B24" s="102" t="s">
        <v>322</v>
      </c>
      <c r="C24" s="103">
        <v>46503</v>
      </c>
      <c r="D24" s="103">
        <v>46503</v>
      </c>
      <c r="E24" s="102">
        <v>1</v>
      </c>
      <c r="F24" s="102" t="s">
        <v>349</v>
      </c>
      <c r="G24" s="104" t="s">
        <v>348</v>
      </c>
    </row>
    <row r="25" spans="1:7" ht="16" x14ac:dyDescent="0.2">
      <c r="A25" s="107" t="s">
        <v>309</v>
      </c>
      <c r="B25" s="102" t="s">
        <v>324</v>
      </c>
      <c r="C25" s="103">
        <v>46510</v>
      </c>
      <c r="D25" s="103">
        <v>46510</v>
      </c>
      <c r="E25" s="102">
        <v>1</v>
      </c>
      <c r="F25" s="102" t="s">
        <v>349</v>
      </c>
      <c r="G25" s="104" t="s">
        <v>348</v>
      </c>
    </row>
    <row r="26" spans="1:7" ht="32" x14ac:dyDescent="0.2">
      <c r="A26" s="108" t="s">
        <v>326</v>
      </c>
      <c r="B26" s="102" t="s">
        <v>327</v>
      </c>
      <c r="C26" s="103">
        <v>46610</v>
      </c>
      <c r="D26" s="103">
        <v>46610</v>
      </c>
      <c r="E26" s="102">
        <v>1</v>
      </c>
      <c r="F26" s="102" t="s">
        <v>349</v>
      </c>
      <c r="G26" s="104" t="s">
        <v>350</v>
      </c>
    </row>
    <row r="27" spans="1:7" ht="16" x14ac:dyDescent="0.2">
      <c r="A27" s="107" t="s">
        <v>309</v>
      </c>
      <c r="B27" s="102" t="s">
        <v>329</v>
      </c>
      <c r="C27" s="103">
        <v>46664</v>
      </c>
      <c r="D27" s="103">
        <v>46664</v>
      </c>
      <c r="E27" s="102">
        <v>1</v>
      </c>
      <c r="F27" s="102" t="s">
        <v>349</v>
      </c>
      <c r="G27" s="104" t="s">
        <v>348</v>
      </c>
    </row>
    <row r="28" spans="1:7" ht="16" x14ac:dyDescent="0.2">
      <c r="A28" s="107" t="s">
        <v>330</v>
      </c>
      <c r="B28" s="102" t="s">
        <v>331</v>
      </c>
      <c r="C28" s="103">
        <v>46745</v>
      </c>
      <c r="D28" s="103">
        <v>46745</v>
      </c>
      <c r="E28" s="102">
        <v>1</v>
      </c>
      <c r="F28" s="102" t="s">
        <v>349</v>
      </c>
      <c r="G28" s="104" t="s">
        <v>348</v>
      </c>
    </row>
    <row r="29" spans="1:7" ht="16" x14ac:dyDescent="0.2">
      <c r="A29" s="107" t="s">
        <v>309</v>
      </c>
      <c r="B29" s="102" t="s">
        <v>333</v>
      </c>
      <c r="C29" s="103">
        <v>46746</v>
      </c>
      <c r="D29" s="103">
        <v>46746</v>
      </c>
      <c r="E29" s="102">
        <v>1</v>
      </c>
      <c r="F29" s="102" t="s">
        <v>349</v>
      </c>
      <c r="G29" s="104" t="s">
        <v>348</v>
      </c>
    </row>
    <row r="30" spans="1:7" ht="16" x14ac:dyDescent="0.2">
      <c r="A30" s="107" t="s">
        <v>309</v>
      </c>
      <c r="B30" s="102" t="s">
        <v>335</v>
      </c>
      <c r="C30" s="103">
        <v>46747</v>
      </c>
      <c r="D30" s="103">
        <v>46747</v>
      </c>
      <c r="E30" s="102">
        <v>1</v>
      </c>
      <c r="F30" s="102" t="s">
        <v>349</v>
      </c>
      <c r="G30" s="104" t="s">
        <v>348</v>
      </c>
    </row>
    <row r="31" spans="1:7" ht="16" x14ac:dyDescent="0.2">
      <c r="A31" s="107" t="s">
        <v>309</v>
      </c>
      <c r="B31" s="102" t="s">
        <v>337</v>
      </c>
      <c r="C31" s="103">
        <v>46748</v>
      </c>
      <c r="D31" s="103">
        <v>46748</v>
      </c>
      <c r="E31" s="102">
        <v>1</v>
      </c>
      <c r="F31" s="102" t="s">
        <v>349</v>
      </c>
      <c r="G31" s="104" t="s">
        <v>348</v>
      </c>
    </row>
    <row r="32" spans="1:7" ht="16" x14ac:dyDescent="0.2">
      <c r="A32" s="107" t="s">
        <v>309</v>
      </c>
      <c r="B32" s="102" t="s">
        <v>339</v>
      </c>
      <c r="C32" s="103">
        <v>46749</v>
      </c>
      <c r="D32" s="103">
        <v>46749</v>
      </c>
      <c r="E32" s="102">
        <v>1</v>
      </c>
      <c r="F32" s="102" t="s">
        <v>349</v>
      </c>
      <c r="G32" s="104" t="s">
        <v>348</v>
      </c>
    </row>
    <row r="34" spans="1:2" ht="55" customHeight="1" x14ac:dyDescent="0.2">
      <c r="A34" t="s">
        <v>351</v>
      </c>
      <c r="B34" s="109" t="s">
        <v>352</v>
      </c>
    </row>
  </sheetData>
  <mergeCells count="1">
    <mergeCell ref="A1:G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FCDCF-750A-4DF9-AFE1-219F2B1ECAC2}">
  <sheetPr>
    <tabColor rgb="FFFF0000"/>
  </sheetPr>
  <dimension ref="A1:BI376"/>
  <sheetViews>
    <sheetView topLeftCell="S1" workbookViewId="0">
      <pane ySplit="2" topLeftCell="A266" activePane="bottomLeft" state="frozen"/>
      <selection sqref="A1:XFD1"/>
      <selection pane="bottomLeft" activeCell="U273" sqref="U273"/>
    </sheetView>
  </sheetViews>
  <sheetFormatPr baseColWidth="10" defaultColWidth="8.83203125" defaultRowHeight="15" x14ac:dyDescent="0.2"/>
  <cols>
    <col min="1" max="1" width="21" bestFit="1" customWidth="1"/>
    <col min="2" max="2" width="5.1640625" bestFit="1" customWidth="1"/>
    <col min="3" max="4" width="25.5" bestFit="1" customWidth="1"/>
    <col min="5" max="6" width="80.5" bestFit="1" customWidth="1"/>
    <col min="7" max="7" width="9.5" bestFit="1" customWidth="1"/>
    <col min="8" max="8" width="19" bestFit="1" customWidth="1"/>
    <col min="9" max="9" width="37" bestFit="1" customWidth="1"/>
    <col min="10" max="10" width="12.1640625" bestFit="1" customWidth="1"/>
    <col min="11" max="11" width="11" bestFit="1" customWidth="1"/>
    <col min="12" max="12" width="10.5" bestFit="1" customWidth="1"/>
    <col min="13" max="13" width="14.83203125" bestFit="1" customWidth="1"/>
    <col min="14" max="14" width="19.5" bestFit="1" customWidth="1"/>
    <col min="15" max="15" width="8.1640625" bestFit="1" customWidth="1"/>
    <col min="16" max="16" width="18" bestFit="1" customWidth="1"/>
    <col min="17" max="17" width="22.5" bestFit="1" customWidth="1"/>
    <col min="18" max="18" width="10.5" bestFit="1" customWidth="1"/>
    <col min="19" max="19" width="80.5" bestFit="1" customWidth="1"/>
    <col min="20" max="20" width="12.1640625" bestFit="1" customWidth="1"/>
    <col min="21" max="21" width="74.5" bestFit="1" customWidth="1"/>
    <col min="22" max="22" width="16.5" bestFit="1" customWidth="1"/>
    <col min="23" max="23" width="18.5" bestFit="1" customWidth="1"/>
    <col min="24" max="24" width="20" bestFit="1" customWidth="1"/>
    <col min="25" max="25" width="9.5" bestFit="1" customWidth="1"/>
    <col min="26" max="27" width="18.1640625" bestFit="1" customWidth="1"/>
    <col min="28" max="28" width="11.5" bestFit="1" customWidth="1"/>
    <col min="29" max="29" width="6.83203125" bestFit="1" customWidth="1"/>
    <col min="30" max="30" width="10.83203125" bestFit="1" customWidth="1"/>
    <col min="31" max="31" width="9.83203125" bestFit="1" customWidth="1"/>
    <col min="32" max="32" width="10.5" bestFit="1" customWidth="1"/>
    <col min="33" max="33" width="9.83203125" bestFit="1" customWidth="1"/>
    <col min="34" max="34" width="22.5" bestFit="1" customWidth="1"/>
    <col min="35" max="35" width="13.5" bestFit="1" customWidth="1"/>
    <col min="36" max="36" width="35.5" bestFit="1" customWidth="1"/>
    <col min="37" max="37" width="33" bestFit="1" customWidth="1"/>
    <col min="38" max="38" width="16.83203125" bestFit="1" customWidth="1"/>
    <col min="39" max="39" width="16.5" bestFit="1" customWidth="1"/>
    <col min="40" max="40" width="13.5" bestFit="1" customWidth="1"/>
    <col min="41" max="41" width="16.1640625" bestFit="1" customWidth="1"/>
    <col min="42" max="42" width="18.5" bestFit="1" customWidth="1"/>
    <col min="43" max="43" width="17.83203125" bestFit="1" customWidth="1"/>
    <col min="44" max="44" width="18.1640625" bestFit="1" customWidth="1"/>
    <col min="45" max="45" width="7.5" bestFit="1" customWidth="1"/>
    <col min="46" max="46" width="8.5" bestFit="1" customWidth="1"/>
    <col min="47" max="47" width="19" bestFit="1" customWidth="1"/>
    <col min="48" max="48" width="11.5" bestFit="1" customWidth="1"/>
    <col min="49" max="49" width="11.83203125" bestFit="1" customWidth="1"/>
    <col min="50" max="50" width="10.5" bestFit="1" customWidth="1"/>
    <col min="51" max="51" width="17.5" bestFit="1" customWidth="1"/>
    <col min="52" max="52" width="13.5" bestFit="1" customWidth="1"/>
    <col min="53" max="53" width="16.5" bestFit="1" customWidth="1"/>
    <col min="54" max="54" width="18.5" bestFit="1" customWidth="1"/>
    <col min="55" max="55" width="9.1640625" bestFit="1" customWidth="1"/>
    <col min="56" max="56" width="8.5" bestFit="1" customWidth="1"/>
    <col min="57" max="57" width="8.1640625" bestFit="1" customWidth="1"/>
    <col min="58" max="58" width="25.5" bestFit="1" customWidth="1"/>
    <col min="59" max="59" width="19.5" bestFit="1" customWidth="1"/>
    <col min="60" max="60" width="35.83203125" bestFit="1" customWidth="1"/>
    <col min="61" max="61" width="80.5" customWidth="1"/>
  </cols>
  <sheetData>
    <row r="1" spans="1:61" s="38" customFormat="1" ht="24" x14ac:dyDescent="0.3">
      <c r="A1" s="38" t="s">
        <v>353</v>
      </c>
    </row>
    <row r="2" spans="1:61" x14ac:dyDescent="0.2">
      <c r="A2" t="s">
        <v>47</v>
      </c>
      <c r="B2" t="s">
        <v>48</v>
      </c>
      <c r="C2" t="s">
        <v>49</v>
      </c>
      <c r="D2" t="s">
        <v>50</v>
      </c>
      <c r="E2" t="s">
        <v>51</v>
      </c>
      <c r="F2" t="s">
        <v>52</v>
      </c>
      <c r="G2" t="s">
        <v>53</v>
      </c>
      <c r="H2" t="s">
        <v>54</v>
      </c>
      <c r="I2" t="s">
        <v>55</v>
      </c>
      <c r="J2" t="s">
        <v>56</v>
      </c>
      <c r="K2" t="s">
        <v>57</v>
      </c>
      <c r="L2" t="s">
        <v>58</v>
      </c>
      <c r="M2" t="s">
        <v>59</v>
      </c>
      <c r="N2" t="s">
        <v>60</v>
      </c>
      <c r="O2" t="s">
        <v>61</v>
      </c>
      <c r="P2" t="s">
        <v>62</v>
      </c>
      <c r="Q2" t="s">
        <v>63</v>
      </c>
      <c r="R2" t="s">
        <v>64</v>
      </c>
      <c r="S2" t="s">
        <v>65</v>
      </c>
      <c r="T2" t="s">
        <v>66</v>
      </c>
      <c r="U2" t="s">
        <v>67</v>
      </c>
      <c r="V2" t="s">
        <v>68</v>
      </c>
      <c r="W2" t="s">
        <v>69</v>
      </c>
      <c r="X2" t="s">
        <v>70</v>
      </c>
      <c r="Y2" t="s">
        <v>71</v>
      </c>
      <c r="Z2" t="s">
        <v>72</v>
      </c>
      <c r="AA2" t="s">
        <v>73</v>
      </c>
      <c r="AB2" t="s">
        <v>74</v>
      </c>
      <c r="AC2" t="s">
        <v>75</v>
      </c>
      <c r="AD2" t="s">
        <v>76</v>
      </c>
      <c r="AE2" t="s">
        <v>77</v>
      </c>
      <c r="AF2" t="s">
        <v>78</v>
      </c>
      <c r="AG2" t="s">
        <v>79</v>
      </c>
      <c r="AH2" t="s">
        <v>80</v>
      </c>
      <c r="AI2" t="s">
        <v>81</v>
      </c>
      <c r="AJ2" t="s">
        <v>82</v>
      </c>
      <c r="AK2" t="s">
        <v>354</v>
      </c>
      <c r="AL2" t="s">
        <v>355</v>
      </c>
      <c r="AM2" t="s">
        <v>356</v>
      </c>
      <c r="AN2" t="s">
        <v>357</v>
      </c>
      <c r="AO2" t="s">
        <v>358</v>
      </c>
      <c r="AP2" t="s">
        <v>359</v>
      </c>
      <c r="AQ2" t="s">
        <v>360</v>
      </c>
      <c r="AR2" t="s">
        <v>361</v>
      </c>
      <c r="AS2" t="s">
        <v>362</v>
      </c>
      <c r="AT2" t="s">
        <v>363</v>
      </c>
      <c r="AU2" t="s">
        <v>364</v>
      </c>
      <c r="AV2" t="s">
        <v>365</v>
      </c>
      <c r="AW2" t="s">
        <v>366</v>
      </c>
      <c r="AX2" t="s">
        <v>367</v>
      </c>
      <c r="AY2" t="s">
        <v>368</v>
      </c>
      <c r="AZ2" t="s">
        <v>369</v>
      </c>
      <c r="BA2" t="s">
        <v>370</v>
      </c>
      <c r="BB2" t="s">
        <v>371</v>
      </c>
      <c r="BC2" t="s">
        <v>372</v>
      </c>
      <c r="BD2" t="s">
        <v>373</v>
      </c>
      <c r="BE2" t="s">
        <v>83</v>
      </c>
      <c r="BF2" t="s">
        <v>84</v>
      </c>
      <c r="BG2" t="s">
        <v>85</v>
      </c>
      <c r="BH2" t="s">
        <v>374</v>
      </c>
      <c r="BI2" t="s">
        <v>375</v>
      </c>
    </row>
    <row r="3" spans="1:61" x14ac:dyDescent="0.2">
      <c r="A3">
        <v>0</v>
      </c>
      <c r="B3">
        <v>1072</v>
      </c>
      <c r="D3" t="s">
        <v>348</v>
      </c>
      <c r="E3" t="s">
        <v>376</v>
      </c>
      <c r="F3" t="s">
        <v>377</v>
      </c>
      <c r="G3" t="s">
        <v>378</v>
      </c>
      <c r="J3" t="s">
        <v>87</v>
      </c>
      <c r="K3" s="21">
        <v>46023</v>
      </c>
      <c r="L3" s="21">
        <v>46023</v>
      </c>
      <c r="P3" t="s">
        <v>379</v>
      </c>
      <c r="Q3" t="s">
        <v>379</v>
      </c>
      <c r="S3" t="s">
        <v>380</v>
      </c>
      <c r="T3">
        <v>7492</v>
      </c>
      <c r="U3" t="s">
        <v>381</v>
      </c>
      <c r="AA3" t="s">
        <v>5</v>
      </c>
      <c r="AC3">
        <v>1072</v>
      </c>
      <c r="AD3">
        <v>46221</v>
      </c>
      <c r="AE3">
        <v>46161</v>
      </c>
      <c r="AF3">
        <v>102</v>
      </c>
      <c r="AG3">
        <v>102</v>
      </c>
      <c r="AH3" t="s">
        <v>382</v>
      </c>
      <c r="AI3" t="b">
        <v>0</v>
      </c>
      <c r="AJ3" t="s">
        <v>383</v>
      </c>
      <c r="AK3" t="s">
        <v>384</v>
      </c>
      <c r="AL3" t="s">
        <v>385</v>
      </c>
      <c r="AM3" t="s">
        <v>385</v>
      </c>
      <c r="AN3" t="s">
        <v>384</v>
      </c>
      <c r="AO3" t="s">
        <v>384</v>
      </c>
      <c r="AP3" t="s">
        <v>384</v>
      </c>
      <c r="AQ3" t="s">
        <v>384</v>
      </c>
      <c r="AR3" t="s">
        <v>384</v>
      </c>
      <c r="AS3" t="s">
        <v>384</v>
      </c>
      <c r="AT3" t="s">
        <v>384</v>
      </c>
      <c r="AU3" t="s">
        <v>384</v>
      </c>
      <c r="AV3" t="s">
        <v>384</v>
      </c>
      <c r="AW3" t="s">
        <v>384</v>
      </c>
      <c r="AX3" t="s">
        <v>385</v>
      </c>
      <c r="AY3" t="s">
        <v>384</v>
      </c>
      <c r="AZ3" t="s">
        <v>384</v>
      </c>
      <c r="BA3" t="s">
        <v>385</v>
      </c>
      <c r="BB3" t="s">
        <v>384</v>
      </c>
      <c r="BC3" t="s">
        <v>384</v>
      </c>
      <c r="BD3" t="s">
        <v>384</v>
      </c>
      <c r="BI3" t="s">
        <v>376</v>
      </c>
    </row>
    <row r="4" spans="1:61" x14ac:dyDescent="0.2">
      <c r="A4">
        <v>0</v>
      </c>
      <c r="B4">
        <v>1071</v>
      </c>
      <c r="D4" t="s">
        <v>348</v>
      </c>
      <c r="E4" t="s">
        <v>386</v>
      </c>
      <c r="F4" t="s">
        <v>387</v>
      </c>
      <c r="G4" t="s">
        <v>378</v>
      </c>
      <c r="J4" t="s">
        <v>87</v>
      </c>
      <c r="K4" s="21">
        <v>46023</v>
      </c>
      <c r="L4" s="21">
        <v>46023</v>
      </c>
      <c r="P4" t="s">
        <v>379</v>
      </c>
      <c r="Q4" t="s">
        <v>379</v>
      </c>
      <c r="T4">
        <v>7491</v>
      </c>
      <c r="U4" t="s">
        <v>381</v>
      </c>
      <c r="AA4" t="s">
        <v>5</v>
      </c>
      <c r="AC4">
        <v>1071</v>
      </c>
      <c r="AD4">
        <v>46221</v>
      </c>
      <c r="AE4">
        <v>46161</v>
      </c>
      <c r="AF4">
        <v>102</v>
      </c>
      <c r="AG4">
        <v>102</v>
      </c>
      <c r="AH4" t="s">
        <v>382</v>
      </c>
      <c r="AI4" t="b">
        <v>0</v>
      </c>
      <c r="AJ4" t="s">
        <v>388</v>
      </c>
      <c r="AK4" t="s">
        <v>384</v>
      </c>
      <c r="AL4" t="s">
        <v>385</v>
      </c>
      <c r="AM4" t="s">
        <v>385</v>
      </c>
      <c r="AN4" t="s">
        <v>384</v>
      </c>
      <c r="AO4" t="s">
        <v>384</v>
      </c>
      <c r="AP4" t="s">
        <v>384</v>
      </c>
      <c r="AQ4" t="s">
        <v>384</v>
      </c>
      <c r="AR4" t="s">
        <v>384</v>
      </c>
      <c r="AS4" t="s">
        <v>384</v>
      </c>
      <c r="AT4" t="s">
        <v>384</v>
      </c>
      <c r="AU4" t="s">
        <v>384</v>
      </c>
      <c r="AV4" t="s">
        <v>384</v>
      </c>
      <c r="AW4" t="s">
        <v>384</v>
      </c>
      <c r="AX4" t="s">
        <v>385</v>
      </c>
      <c r="AY4" t="s">
        <v>384</v>
      </c>
      <c r="AZ4" t="s">
        <v>384</v>
      </c>
      <c r="BA4" t="s">
        <v>385</v>
      </c>
      <c r="BB4" t="s">
        <v>384</v>
      </c>
      <c r="BC4" t="s">
        <v>384</v>
      </c>
      <c r="BD4" t="s">
        <v>384</v>
      </c>
      <c r="BI4" t="s">
        <v>386</v>
      </c>
    </row>
    <row r="5" spans="1:61" x14ac:dyDescent="0.2">
      <c r="A5">
        <v>0</v>
      </c>
      <c r="B5">
        <v>1070</v>
      </c>
      <c r="D5" t="s">
        <v>348</v>
      </c>
      <c r="E5" t="s">
        <v>389</v>
      </c>
      <c r="F5" t="s">
        <v>390</v>
      </c>
      <c r="G5" t="s">
        <v>378</v>
      </c>
      <c r="J5" t="s">
        <v>87</v>
      </c>
      <c r="K5" s="21">
        <v>46023</v>
      </c>
      <c r="L5" s="21">
        <v>46023</v>
      </c>
      <c r="P5" t="s">
        <v>379</v>
      </c>
      <c r="Q5" t="s">
        <v>379</v>
      </c>
      <c r="S5" t="s">
        <v>380</v>
      </c>
      <c r="T5">
        <v>7490</v>
      </c>
      <c r="U5" t="s">
        <v>381</v>
      </c>
      <c r="AA5" t="s">
        <v>5</v>
      </c>
      <c r="AC5">
        <v>1070</v>
      </c>
      <c r="AD5">
        <v>46221</v>
      </c>
      <c r="AE5">
        <v>46161</v>
      </c>
      <c r="AF5">
        <v>102</v>
      </c>
      <c r="AG5">
        <v>102</v>
      </c>
      <c r="AH5" t="s">
        <v>382</v>
      </c>
      <c r="AI5" t="b">
        <v>0</v>
      </c>
      <c r="AJ5" t="s">
        <v>391</v>
      </c>
      <c r="AK5" t="s">
        <v>384</v>
      </c>
      <c r="AL5" t="s">
        <v>385</v>
      </c>
      <c r="AM5" t="s">
        <v>385</v>
      </c>
      <c r="AN5" t="s">
        <v>384</v>
      </c>
      <c r="AO5" t="s">
        <v>384</v>
      </c>
      <c r="AP5" t="s">
        <v>384</v>
      </c>
      <c r="AQ5" t="s">
        <v>384</v>
      </c>
      <c r="AR5" t="s">
        <v>384</v>
      </c>
      <c r="AS5" t="s">
        <v>384</v>
      </c>
      <c r="AT5" t="s">
        <v>384</v>
      </c>
      <c r="AU5" t="s">
        <v>384</v>
      </c>
      <c r="AV5" t="s">
        <v>384</v>
      </c>
      <c r="AW5" t="s">
        <v>384</v>
      </c>
      <c r="AX5" t="s">
        <v>385</v>
      </c>
      <c r="AY5" t="s">
        <v>384</v>
      </c>
      <c r="AZ5" t="s">
        <v>384</v>
      </c>
      <c r="BA5" t="s">
        <v>385</v>
      </c>
      <c r="BB5" t="s">
        <v>384</v>
      </c>
      <c r="BC5" t="s">
        <v>384</v>
      </c>
      <c r="BD5" t="s">
        <v>384</v>
      </c>
      <c r="BI5" t="s">
        <v>389</v>
      </c>
    </row>
    <row r="6" spans="1:61" x14ac:dyDescent="0.2">
      <c r="A6">
        <v>0</v>
      </c>
      <c r="B6">
        <v>1069</v>
      </c>
      <c r="D6" t="s">
        <v>348</v>
      </c>
      <c r="E6" t="s">
        <v>392</v>
      </c>
      <c r="F6" t="s">
        <v>393</v>
      </c>
      <c r="G6" t="s">
        <v>378</v>
      </c>
      <c r="J6" t="s">
        <v>87</v>
      </c>
      <c r="K6" s="21">
        <v>46023</v>
      </c>
      <c r="L6" s="21">
        <v>46023</v>
      </c>
      <c r="P6" t="s">
        <v>379</v>
      </c>
      <c r="Q6" t="s">
        <v>379</v>
      </c>
      <c r="S6" t="s">
        <v>380</v>
      </c>
      <c r="T6">
        <v>7489</v>
      </c>
      <c r="U6" t="s">
        <v>381</v>
      </c>
      <c r="AA6" t="s">
        <v>5</v>
      </c>
      <c r="AC6">
        <v>1069</v>
      </c>
      <c r="AD6">
        <v>46221</v>
      </c>
      <c r="AE6">
        <v>46161</v>
      </c>
      <c r="AF6">
        <v>102</v>
      </c>
      <c r="AG6">
        <v>102</v>
      </c>
      <c r="AH6" t="s">
        <v>382</v>
      </c>
      <c r="AI6" t="b">
        <v>0</v>
      </c>
      <c r="AJ6" t="s">
        <v>394</v>
      </c>
      <c r="AK6" t="s">
        <v>384</v>
      </c>
      <c r="AL6" t="s">
        <v>385</v>
      </c>
      <c r="AM6" t="s">
        <v>385</v>
      </c>
      <c r="AN6" t="s">
        <v>384</v>
      </c>
      <c r="AO6" t="s">
        <v>384</v>
      </c>
      <c r="AP6" t="s">
        <v>384</v>
      </c>
      <c r="AQ6" t="s">
        <v>384</v>
      </c>
      <c r="AR6" t="s">
        <v>384</v>
      </c>
      <c r="AS6" t="s">
        <v>384</v>
      </c>
      <c r="AT6" t="s">
        <v>384</v>
      </c>
      <c r="AU6" t="s">
        <v>384</v>
      </c>
      <c r="AV6" t="s">
        <v>384</v>
      </c>
      <c r="AW6" t="s">
        <v>384</v>
      </c>
      <c r="AX6" t="s">
        <v>385</v>
      </c>
      <c r="AY6" t="s">
        <v>384</v>
      </c>
      <c r="AZ6" t="s">
        <v>384</v>
      </c>
      <c r="BA6" t="s">
        <v>385</v>
      </c>
      <c r="BB6" t="s">
        <v>384</v>
      </c>
      <c r="BC6" t="s">
        <v>384</v>
      </c>
      <c r="BD6" t="s">
        <v>384</v>
      </c>
      <c r="BI6" t="s">
        <v>392</v>
      </c>
    </row>
    <row r="7" spans="1:61" x14ac:dyDescent="0.2">
      <c r="A7">
        <v>0</v>
      </c>
      <c r="B7">
        <v>1020</v>
      </c>
      <c r="D7" t="s">
        <v>348</v>
      </c>
      <c r="E7" t="s">
        <v>395</v>
      </c>
      <c r="F7" t="s">
        <v>396</v>
      </c>
      <c r="G7" t="s">
        <v>378</v>
      </c>
      <c r="J7" t="s">
        <v>87</v>
      </c>
      <c r="K7" s="21">
        <v>46024</v>
      </c>
      <c r="L7" s="21">
        <v>46024</v>
      </c>
      <c r="P7" t="s">
        <v>379</v>
      </c>
      <c r="Q7" t="s">
        <v>379</v>
      </c>
      <c r="S7" t="s">
        <v>380</v>
      </c>
      <c r="T7">
        <v>7192</v>
      </c>
      <c r="U7" t="s">
        <v>381</v>
      </c>
      <c r="AA7" t="s">
        <v>5</v>
      </c>
      <c r="AC7">
        <v>1020</v>
      </c>
      <c r="AD7">
        <v>46221</v>
      </c>
      <c r="AE7">
        <v>46161</v>
      </c>
      <c r="AF7">
        <v>102</v>
      </c>
      <c r="AG7">
        <v>102</v>
      </c>
      <c r="AH7" t="s">
        <v>382</v>
      </c>
      <c r="AI7" t="b">
        <v>0</v>
      </c>
      <c r="AJ7" t="s">
        <v>397</v>
      </c>
      <c r="AK7" t="s">
        <v>384</v>
      </c>
      <c r="AL7" t="s">
        <v>385</v>
      </c>
      <c r="AM7" t="s">
        <v>385</v>
      </c>
      <c r="AN7" t="s">
        <v>384</v>
      </c>
      <c r="AO7" t="s">
        <v>384</v>
      </c>
      <c r="AP7" t="s">
        <v>384</v>
      </c>
      <c r="AQ7" t="s">
        <v>384</v>
      </c>
      <c r="AR7" t="s">
        <v>384</v>
      </c>
      <c r="AS7" t="s">
        <v>384</v>
      </c>
      <c r="AT7" t="s">
        <v>384</v>
      </c>
      <c r="AU7" t="s">
        <v>384</v>
      </c>
      <c r="AV7" t="s">
        <v>384</v>
      </c>
      <c r="AW7" t="s">
        <v>384</v>
      </c>
      <c r="AX7" t="s">
        <v>385</v>
      </c>
      <c r="AY7" t="s">
        <v>384</v>
      </c>
      <c r="AZ7" t="s">
        <v>384</v>
      </c>
      <c r="BA7" t="s">
        <v>385</v>
      </c>
      <c r="BB7" t="s">
        <v>384</v>
      </c>
      <c r="BC7" t="s">
        <v>384</v>
      </c>
      <c r="BD7" t="s">
        <v>384</v>
      </c>
      <c r="BI7" t="s">
        <v>395</v>
      </c>
    </row>
    <row r="8" spans="1:61" x14ac:dyDescent="0.2">
      <c r="A8">
        <v>0</v>
      </c>
      <c r="B8">
        <v>1015</v>
      </c>
      <c r="D8" t="s">
        <v>348</v>
      </c>
      <c r="E8" t="s">
        <v>398</v>
      </c>
      <c r="F8" t="s">
        <v>399</v>
      </c>
      <c r="G8" t="s">
        <v>378</v>
      </c>
      <c r="J8" t="s">
        <v>87</v>
      </c>
      <c r="K8" s="21">
        <v>46024</v>
      </c>
      <c r="L8" s="21">
        <v>46024</v>
      </c>
      <c r="P8" t="s">
        <v>379</v>
      </c>
      <c r="Q8" t="s">
        <v>379</v>
      </c>
      <c r="S8" t="s">
        <v>380</v>
      </c>
      <c r="T8">
        <v>7162</v>
      </c>
      <c r="U8" t="s">
        <v>381</v>
      </c>
      <c r="AA8" t="s">
        <v>5</v>
      </c>
      <c r="AC8">
        <v>1015</v>
      </c>
      <c r="AD8">
        <v>46221</v>
      </c>
      <c r="AE8">
        <v>46161</v>
      </c>
      <c r="AF8">
        <v>102</v>
      </c>
      <c r="AG8">
        <v>102</v>
      </c>
      <c r="AH8" t="s">
        <v>382</v>
      </c>
      <c r="AI8" t="b">
        <v>0</v>
      </c>
      <c r="AJ8" t="s">
        <v>400</v>
      </c>
      <c r="AK8" t="s">
        <v>384</v>
      </c>
      <c r="AL8" t="s">
        <v>385</v>
      </c>
      <c r="AM8" t="s">
        <v>385</v>
      </c>
      <c r="AN8" t="s">
        <v>384</v>
      </c>
      <c r="AO8" t="s">
        <v>384</v>
      </c>
      <c r="AP8" t="s">
        <v>384</v>
      </c>
      <c r="AQ8" t="s">
        <v>384</v>
      </c>
      <c r="AR8" t="s">
        <v>384</v>
      </c>
      <c r="AS8" t="s">
        <v>384</v>
      </c>
      <c r="AT8" t="s">
        <v>384</v>
      </c>
      <c r="AU8" t="s">
        <v>384</v>
      </c>
      <c r="AV8" t="s">
        <v>384</v>
      </c>
      <c r="AW8" t="s">
        <v>384</v>
      </c>
      <c r="AX8" t="s">
        <v>385</v>
      </c>
      <c r="AY8" t="s">
        <v>384</v>
      </c>
      <c r="AZ8" t="s">
        <v>384</v>
      </c>
      <c r="BA8" t="s">
        <v>385</v>
      </c>
      <c r="BB8" t="s">
        <v>384</v>
      </c>
      <c r="BC8" t="s">
        <v>384</v>
      </c>
      <c r="BD8" t="s">
        <v>384</v>
      </c>
      <c r="BI8" t="s">
        <v>398</v>
      </c>
    </row>
    <row r="9" spans="1:61" x14ac:dyDescent="0.2">
      <c r="A9">
        <v>0</v>
      </c>
      <c r="B9">
        <v>1024</v>
      </c>
      <c r="D9" t="s">
        <v>348</v>
      </c>
      <c r="E9" t="s">
        <v>401</v>
      </c>
      <c r="F9" t="s">
        <v>402</v>
      </c>
      <c r="G9" t="s">
        <v>378</v>
      </c>
      <c r="J9" t="s">
        <v>87</v>
      </c>
      <c r="K9" s="21">
        <v>46029</v>
      </c>
      <c r="L9" s="21">
        <v>46029</v>
      </c>
      <c r="P9" t="s">
        <v>379</v>
      </c>
      <c r="Q9" t="s">
        <v>379</v>
      </c>
      <c r="S9" t="s">
        <v>380</v>
      </c>
      <c r="T9">
        <v>7237</v>
      </c>
      <c r="U9" t="s">
        <v>381</v>
      </c>
      <c r="AA9" t="s">
        <v>5</v>
      </c>
      <c r="AC9">
        <v>1024</v>
      </c>
      <c r="AD9">
        <v>46221</v>
      </c>
      <c r="AE9">
        <v>46161</v>
      </c>
      <c r="AF9">
        <v>102</v>
      </c>
      <c r="AG9">
        <v>102</v>
      </c>
      <c r="AH9" t="s">
        <v>382</v>
      </c>
      <c r="AI9" t="b">
        <v>0</v>
      </c>
      <c r="AJ9" t="s">
        <v>403</v>
      </c>
      <c r="AK9" t="s">
        <v>384</v>
      </c>
      <c r="AL9" t="s">
        <v>385</v>
      </c>
      <c r="AM9" t="s">
        <v>385</v>
      </c>
      <c r="AN9" t="s">
        <v>384</v>
      </c>
      <c r="AO9" t="s">
        <v>384</v>
      </c>
      <c r="AP9" t="s">
        <v>384</v>
      </c>
      <c r="AQ9" t="s">
        <v>384</v>
      </c>
      <c r="AR9" t="s">
        <v>384</v>
      </c>
      <c r="AS9" t="s">
        <v>384</v>
      </c>
      <c r="AT9" t="s">
        <v>384</v>
      </c>
      <c r="AU9" t="s">
        <v>384</v>
      </c>
      <c r="AV9" t="s">
        <v>384</v>
      </c>
      <c r="AW9" t="s">
        <v>384</v>
      </c>
      <c r="AX9" t="s">
        <v>385</v>
      </c>
      <c r="AY9" t="s">
        <v>384</v>
      </c>
      <c r="AZ9" t="s">
        <v>384</v>
      </c>
      <c r="BA9" t="s">
        <v>385</v>
      </c>
      <c r="BB9" t="s">
        <v>384</v>
      </c>
      <c r="BC9" t="s">
        <v>384</v>
      </c>
      <c r="BD9" t="s">
        <v>384</v>
      </c>
      <c r="BI9" t="s">
        <v>401</v>
      </c>
    </row>
    <row r="10" spans="1:61" x14ac:dyDescent="0.2">
      <c r="A10">
        <v>0</v>
      </c>
      <c r="B10">
        <v>1047</v>
      </c>
      <c r="D10" t="s">
        <v>348</v>
      </c>
      <c r="E10" t="s">
        <v>401</v>
      </c>
      <c r="F10" t="s">
        <v>402</v>
      </c>
      <c r="G10" t="s">
        <v>378</v>
      </c>
      <c r="J10" t="s">
        <v>87</v>
      </c>
      <c r="K10" s="21">
        <v>46029</v>
      </c>
      <c r="L10" s="21">
        <v>46029</v>
      </c>
      <c r="P10" t="s">
        <v>379</v>
      </c>
      <c r="Q10" t="s">
        <v>379</v>
      </c>
      <c r="S10" t="s">
        <v>380</v>
      </c>
      <c r="T10">
        <v>7385</v>
      </c>
      <c r="U10" t="s">
        <v>381</v>
      </c>
      <c r="AA10" t="s">
        <v>5</v>
      </c>
      <c r="AC10">
        <v>1047</v>
      </c>
      <c r="AD10">
        <v>46221</v>
      </c>
      <c r="AE10">
        <v>46161</v>
      </c>
      <c r="AF10">
        <v>102</v>
      </c>
      <c r="AG10">
        <v>102</v>
      </c>
      <c r="AH10" t="s">
        <v>382</v>
      </c>
      <c r="AI10" t="b">
        <v>0</v>
      </c>
      <c r="AJ10" t="s">
        <v>404</v>
      </c>
      <c r="AK10" t="s">
        <v>384</v>
      </c>
      <c r="AL10" t="s">
        <v>385</v>
      </c>
      <c r="AM10" t="s">
        <v>385</v>
      </c>
      <c r="AN10" t="s">
        <v>384</v>
      </c>
      <c r="AO10" t="s">
        <v>384</v>
      </c>
      <c r="AP10" t="s">
        <v>384</v>
      </c>
      <c r="AQ10" t="s">
        <v>384</v>
      </c>
      <c r="AR10" t="s">
        <v>384</v>
      </c>
      <c r="AS10" t="s">
        <v>384</v>
      </c>
      <c r="AT10" t="s">
        <v>384</v>
      </c>
      <c r="AU10" t="s">
        <v>384</v>
      </c>
      <c r="AV10" t="s">
        <v>384</v>
      </c>
      <c r="AW10" t="s">
        <v>384</v>
      </c>
      <c r="AX10" t="s">
        <v>385</v>
      </c>
      <c r="AY10" t="s">
        <v>384</v>
      </c>
      <c r="AZ10" t="s">
        <v>384</v>
      </c>
      <c r="BA10" t="s">
        <v>385</v>
      </c>
      <c r="BB10" t="s">
        <v>384</v>
      </c>
      <c r="BC10" t="s">
        <v>384</v>
      </c>
      <c r="BD10" t="s">
        <v>384</v>
      </c>
      <c r="BI10" t="s">
        <v>401</v>
      </c>
    </row>
    <row r="11" spans="1:61" x14ac:dyDescent="0.2">
      <c r="A11">
        <v>0</v>
      </c>
      <c r="B11">
        <v>991</v>
      </c>
      <c r="D11" t="s">
        <v>348</v>
      </c>
      <c r="E11" t="s">
        <v>405</v>
      </c>
      <c r="F11" t="s">
        <v>406</v>
      </c>
      <c r="G11" t="s">
        <v>378</v>
      </c>
      <c r="J11" t="s">
        <v>87</v>
      </c>
      <c r="K11" s="21">
        <v>46039</v>
      </c>
      <c r="L11" s="21">
        <v>46039</v>
      </c>
      <c r="P11" t="s">
        <v>379</v>
      </c>
      <c r="Q11" t="s">
        <v>379</v>
      </c>
      <c r="S11" t="s">
        <v>407</v>
      </c>
      <c r="T11">
        <v>5781</v>
      </c>
      <c r="U11" t="s">
        <v>381</v>
      </c>
      <c r="AA11" t="s">
        <v>5</v>
      </c>
      <c r="AC11">
        <v>991</v>
      </c>
      <c r="AD11">
        <v>46221</v>
      </c>
      <c r="AE11">
        <v>46161</v>
      </c>
      <c r="AF11">
        <v>102</v>
      </c>
      <c r="AG11">
        <v>102</v>
      </c>
      <c r="AH11" t="s">
        <v>382</v>
      </c>
      <c r="AI11" t="b">
        <v>0</v>
      </c>
      <c r="AJ11" t="s">
        <v>408</v>
      </c>
      <c r="AK11" t="s">
        <v>384</v>
      </c>
      <c r="AL11" t="s">
        <v>385</v>
      </c>
      <c r="AM11" t="s">
        <v>385</v>
      </c>
      <c r="AN11" t="s">
        <v>384</v>
      </c>
      <c r="AO11" t="s">
        <v>384</v>
      </c>
      <c r="AP11" t="s">
        <v>384</v>
      </c>
      <c r="AQ11" t="s">
        <v>384</v>
      </c>
      <c r="AR11" t="s">
        <v>384</v>
      </c>
      <c r="AS11" t="s">
        <v>384</v>
      </c>
      <c r="AT11" t="s">
        <v>384</v>
      </c>
      <c r="AU11" t="s">
        <v>384</v>
      </c>
      <c r="AV11" t="s">
        <v>384</v>
      </c>
      <c r="AW11" t="s">
        <v>384</v>
      </c>
      <c r="AX11" t="s">
        <v>385</v>
      </c>
      <c r="AY11" t="s">
        <v>384</v>
      </c>
      <c r="AZ11" t="s">
        <v>384</v>
      </c>
      <c r="BA11" t="s">
        <v>385</v>
      </c>
      <c r="BB11" t="s">
        <v>384</v>
      </c>
      <c r="BC11" t="s">
        <v>384</v>
      </c>
      <c r="BD11" t="s">
        <v>384</v>
      </c>
      <c r="BI11" t="s">
        <v>405</v>
      </c>
    </row>
    <row r="12" spans="1:61" x14ac:dyDescent="0.2">
      <c r="A12">
        <v>0</v>
      </c>
      <c r="B12">
        <v>950</v>
      </c>
      <c r="D12" t="s">
        <v>348</v>
      </c>
      <c r="E12" t="s">
        <v>409</v>
      </c>
      <c r="F12" t="s">
        <v>410</v>
      </c>
      <c r="G12" t="s">
        <v>378</v>
      </c>
      <c r="J12" t="s">
        <v>87</v>
      </c>
      <c r="K12" s="21">
        <v>46040</v>
      </c>
      <c r="L12" s="21">
        <v>46040</v>
      </c>
      <c r="P12" t="s">
        <v>379</v>
      </c>
      <c r="Q12" t="s">
        <v>379</v>
      </c>
      <c r="T12">
        <v>5740</v>
      </c>
      <c r="U12" t="s">
        <v>381</v>
      </c>
      <c r="AA12" t="s">
        <v>5</v>
      </c>
      <c r="AC12">
        <v>950</v>
      </c>
      <c r="AD12">
        <v>46221</v>
      </c>
      <c r="AE12">
        <v>46161</v>
      </c>
      <c r="AF12">
        <v>102</v>
      </c>
      <c r="AG12">
        <v>102</v>
      </c>
      <c r="AH12" t="s">
        <v>382</v>
      </c>
      <c r="AI12" t="b">
        <v>0</v>
      </c>
      <c r="AJ12" t="s">
        <v>411</v>
      </c>
      <c r="AK12" t="s">
        <v>384</v>
      </c>
      <c r="AL12" t="s">
        <v>385</v>
      </c>
      <c r="AM12" t="s">
        <v>385</v>
      </c>
      <c r="AN12" t="s">
        <v>384</v>
      </c>
      <c r="AO12" t="s">
        <v>384</v>
      </c>
      <c r="AP12" t="s">
        <v>384</v>
      </c>
      <c r="AQ12" t="s">
        <v>384</v>
      </c>
      <c r="AR12" t="s">
        <v>384</v>
      </c>
      <c r="AS12" t="s">
        <v>384</v>
      </c>
      <c r="AT12" t="s">
        <v>384</v>
      </c>
      <c r="AU12" t="s">
        <v>384</v>
      </c>
      <c r="AV12" t="s">
        <v>384</v>
      </c>
      <c r="AW12" t="s">
        <v>384</v>
      </c>
      <c r="AX12" t="s">
        <v>385</v>
      </c>
      <c r="AY12" t="s">
        <v>384</v>
      </c>
      <c r="AZ12" t="s">
        <v>384</v>
      </c>
      <c r="BA12" t="s">
        <v>385</v>
      </c>
      <c r="BB12" t="s">
        <v>384</v>
      </c>
      <c r="BC12" t="s">
        <v>384</v>
      </c>
      <c r="BD12" t="s">
        <v>384</v>
      </c>
      <c r="BI12" t="s">
        <v>409</v>
      </c>
    </row>
    <row r="13" spans="1:61" x14ac:dyDescent="0.2">
      <c r="A13">
        <v>0</v>
      </c>
      <c r="B13">
        <v>962</v>
      </c>
      <c r="D13" t="s">
        <v>348</v>
      </c>
      <c r="E13" t="s">
        <v>412</v>
      </c>
      <c r="G13" t="s">
        <v>378</v>
      </c>
      <c r="J13" t="s">
        <v>87</v>
      </c>
      <c r="K13" s="21">
        <v>46042</v>
      </c>
      <c r="L13" s="21">
        <v>46042</v>
      </c>
      <c r="P13" t="s">
        <v>379</v>
      </c>
      <c r="Q13" t="s">
        <v>379</v>
      </c>
      <c r="S13" t="s">
        <v>129</v>
      </c>
      <c r="T13">
        <v>5752</v>
      </c>
      <c r="U13" t="s">
        <v>381</v>
      </c>
      <c r="Z13" t="s">
        <v>413</v>
      </c>
      <c r="AA13" t="s">
        <v>5</v>
      </c>
      <c r="AC13">
        <v>962</v>
      </c>
      <c r="AD13">
        <v>46221</v>
      </c>
      <c r="AE13">
        <v>46161</v>
      </c>
      <c r="AF13">
        <v>102</v>
      </c>
      <c r="AG13">
        <v>102</v>
      </c>
      <c r="AH13" t="s">
        <v>414</v>
      </c>
      <c r="AI13" t="b">
        <v>0</v>
      </c>
      <c r="AJ13" t="s">
        <v>415</v>
      </c>
      <c r="AK13" t="s">
        <v>384</v>
      </c>
      <c r="AL13" t="s">
        <v>385</v>
      </c>
      <c r="AM13" t="s">
        <v>385</v>
      </c>
      <c r="AN13" t="s">
        <v>384</v>
      </c>
      <c r="AO13" t="s">
        <v>384</v>
      </c>
      <c r="AP13" t="s">
        <v>384</v>
      </c>
      <c r="AQ13" t="s">
        <v>384</v>
      </c>
      <c r="AR13" t="s">
        <v>384</v>
      </c>
      <c r="AS13" t="s">
        <v>384</v>
      </c>
      <c r="AT13" t="s">
        <v>384</v>
      </c>
      <c r="AU13" t="s">
        <v>384</v>
      </c>
      <c r="AV13" t="s">
        <v>384</v>
      </c>
      <c r="AW13" t="s">
        <v>384</v>
      </c>
      <c r="AX13" t="s">
        <v>385</v>
      </c>
      <c r="AY13" t="s">
        <v>384</v>
      </c>
      <c r="AZ13" t="s">
        <v>384</v>
      </c>
      <c r="BA13" t="s">
        <v>385</v>
      </c>
      <c r="BB13" t="s">
        <v>384</v>
      </c>
      <c r="BC13" t="s">
        <v>384</v>
      </c>
      <c r="BD13" t="s">
        <v>384</v>
      </c>
      <c r="BI13" t="s">
        <v>412</v>
      </c>
    </row>
    <row r="14" spans="1:61" x14ac:dyDescent="0.2">
      <c r="A14">
        <v>0</v>
      </c>
      <c r="B14">
        <v>913</v>
      </c>
      <c r="D14" t="s">
        <v>348</v>
      </c>
      <c r="E14" t="s">
        <v>312</v>
      </c>
      <c r="F14" t="s">
        <v>416</v>
      </c>
      <c r="G14" t="s">
        <v>378</v>
      </c>
      <c r="J14" t="s">
        <v>87</v>
      </c>
      <c r="K14" s="21">
        <v>46047</v>
      </c>
      <c r="L14" s="21">
        <v>46047</v>
      </c>
      <c r="P14" t="s">
        <v>379</v>
      </c>
      <c r="Q14" t="s">
        <v>379</v>
      </c>
      <c r="T14">
        <v>5702</v>
      </c>
      <c r="U14" t="s">
        <v>381</v>
      </c>
      <c r="AA14" t="s">
        <v>5</v>
      </c>
      <c r="AC14">
        <v>913</v>
      </c>
      <c r="AD14">
        <v>46221</v>
      </c>
      <c r="AE14">
        <v>46161</v>
      </c>
      <c r="AF14">
        <v>102</v>
      </c>
      <c r="AG14">
        <v>102</v>
      </c>
      <c r="AH14" t="s">
        <v>382</v>
      </c>
      <c r="AI14" t="b">
        <v>0</v>
      </c>
      <c r="AJ14" t="s">
        <v>417</v>
      </c>
      <c r="AK14" t="s">
        <v>384</v>
      </c>
      <c r="AL14" t="s">
        <v>385</v>
      </c>
      <c r="AM14" t="s">
        <v>385</v>
      </c>
      <c r="AN14" t="s">
        <v>384</v>
      </c>
      <c r="AO14" t="s">
        <v>384</v>
      </c>
      <c r="AP14" t="s">
        <v>384</v>
      </c>
      <c r="AQ14" t="s">
        <v>384</v>
      </c>
      <c r="AR14" t="s">
        <v>384</v>
      </c>
      <c r="AS14" t="s">
        <v>384</v>
      </c>
      <c r="AT14" t="s">
        <v>384</v>
      </c>
      <c r="AU14" t="s">
        <v>384</v>
      </c>
      <c r="AV14" t="s">
        <v>384</v>
      </c>
      <c r="AW14" t="s">
        <v>384</v>
      </c>
      <c r="AX14" t="s">
        <v>385</v>
      </c>
      <c r="AY14" t="s">
        <v>384</v>
      </c>
      <c r="AZ14" t="s">
        <v>384</v>
      </c>
      <c r="BA14" t="s">
        <v>385</v>
      </c>
      <c r="BB14" t="s">
        <v>384</v>
      </c>
      <c r="BC14" t="s">
        <v>384</v>
      </c>
      <c r="BD14" t="s">
        <v>384</v>
      </c>
      <c r="BI14" t="s">
        <v>312</v>
      </c>
    </row>
    <row r="15" spans="1:61" x14ac:dyDescent="0.2">
      <c r="A15">
        <v>0</v>
      </c>
      <c r="B15">
        <v>938</v>
      </c>
      <c r="D15" t="s">
        <v>348</v>
      </c>
      <c r="E15" t="s">
        <v>418</v>
      </c>
      <c r="F15" t="s">
        <v>419</v>
      </c>
      <c r="G15" t="s">
        <v>378</v>
      </c>
      <c r="J15" t="s">
        <v>87</v>
      </c>
      <c r="K15" s="21">
        <v>46048</v>
      </c>
      <c r="L15" s="21">
        <v>46048</v>
      </c>
      <c r="P15" t="s">
        <v>379</v>
      </c>
      <c r="Q15" t="s">
        <v>379</v>
      </c>
      <c r="T15">
        <v>5728</v>
      </c>
      <c r="U15" t="s">
        <v>381</v>
      </c>
      <c r="AA15" t="s">
        <v>5</v>
      </c>
      <c r="AC15">
        <v>938</v>
      </c>
      <c r="AD15">
        <v>46221</v>
      </c>
      <c r="AE15">
        <v>46161</v>
      </c>
      <c r="AF15">
        <v>102</v>
      </c>
      <c r="AG15">
        <v>102</v>
      </c>
      <c r="AH15" t="s">
        <v>382</v>
      </c>
      <c r="AI15" t="b">
        <v>0</v>
      </c>
      <c r="AJ15" t="s">
        <v>420</v>
      </c>
      <c r="AK15" t="s">
        <v>384</v>
      </c>
      <c r="AL15" t="s">
        <v>385</v>
      </c>
      <c r="AM15" t="s">
        <v>385</v>
      </c>
      <c r="AN15" t="s">
        <v>384</v>
      </c>
      <c r="AO15" t="s">
        <v>384</v>
      </c>
      <c r="AP15" t="s">
        <v>384</v>
      </c>
      <c r="AQ15" t="s">
        <v>384</v>
      </c>
      <c r="AR15" t="s">
        <v>384</v>
      </c>
      <c r="AS15" t="s">
        <v>384</v>
      </c>
      <c r="AT15" t="s">
        <v>384</v>
      </c>
      <c r="AU15" t="s">
        <v>384</v>
      </c>
      <c r="AV15" t="s">
        <v>384</v>
      </c>
      <c r="AW15" t="s">
        <v>384</v>
      </c>
      <c r="AX15" t="s">
        <v>385</v>
      </c>
      <c r="AY15" t="s">
        <v>384</v>
      </c>
      <c r="AZ15" t="s">
        <v>384</v>
      </c>
      <c r="BA15" t="s">
        <v>385</v>
      </c>
      <c r="BB15" t="s">
        <v>384</v>
      </c>
      <c r="BC15" t="s">
        <v>384</v>
      </c>
      <c r="BD15" t="s">
        <v>384</v>
      </c>
      <c r="BI15" t="s">
        <v>418</v>
      </c>
    </row>
    <row r="16" spans="1:61" x14ac:dyDescent="0.2">
      <c r="A16">
        <v>0</v>
      </c>
      <c r="B16">
        <v>1037</v>
      </c>
      <c r="D16" t="s">
        <v>348</v>
      </c>
      <c r="E16" t="s">
        <v>421</v>
      </c>
      <c r="F16" t="s">
        <v>422</v>
      </c>
      <c r="G16" t="s">
        <v>378</v>
      </c>
      <c r="J16" t="s">
        <v>87</v>
      </c>
      <c r="K16" s="21">
        <v>46057</v>
      </c>
      <c r="L16" s="21">
        <v>46057</v>
      </c>
      <c r="P16" t="s">
        <v>379</v>
      </c>
      <c r="Q16" t="s">
        <v>379</v>
      </c>
      <c r="S16" t="s">
        <v>380</v>
      </c>
      <c r="T16">
        <v>7367</v>
      </c>
      <c r="U16" t="s">
        <v>381</v>
      </c>
      <c r="AA16" t="s">
        <v>5</v>
      </c>
      <c r="AC16">
        <v>1037</v>
      </c>
      <c r="AD16">
        <v>46221</v>
      </c>
      <c r="AE16">
        <v>46161</v>
      </c>
      <c r="AF16">
        <v>102</v>
      </c>
      <c r="AG16">
        <v>102</v>
      </c>
      <c r="AH16" t="s">
        <v>382</v>
      </c>
      <c r="AI16" t="b">
        <v>0</v>
      </c>
      <c r="AJ16" t="s">
        <v>423</v>
      </c>
      <c r="AK16" t="s">
        <v>384</v>
      </c>
      <c r="AL16" t="s">
        <v>385</v>
      </c>
      <c r="AM16" t="s">
        <v>385</v>
      </c>
      <c r="AN16" t="s">
        <v>384</v>
      </c>
      <c r="AO16" t="s">
        <v>384</v>
      </c>
      <c r="AP16" t="s">
        <v>384</v>
      </c>
      <c r="AQ16" t="s">
        <v>384</v>
      </c>
      <c r="AR16" t="s">
        <v>384</v>
      </c>
      <c r="AS16" t="s">
        <v>384</v>
      </c>
      <c r="AT16" t="s">
        <v>384</v>
      </c>
      <c r="AU16" t="s">
        <v>384</v>
      </c>
      <c r="AV16" t="s">
        <v>384</v>
      </c>
      <c r="AW16" t="s">
        <v>384</v>
      </c>
      <c r="AX16" t="s">
        <v>385</v>
      </c>
      <c r="AY16" t="s">
        <v>384</v>
      </c>
      <c r="AZ16" t="s">
        <v>384</v>
      </c>
      <c r="BA16" t="s">
        <v>385</v>
      </c>
      <c r="BB16" t="s">
        <v>384</v>
      </c>
      <c r="BC16" t="s">
        <v>384</v>
      </c>
      <c r="BD16" t="s">
        <v>384</v>
      </c>
      <c r="BI16" t="s">
        <v>421</v>
      </c>
    </row>
    <row r="17" spans="1:61" x14ac:dyDescent="0.2">
      <c r="A17">
        <v>0</v>
      </c>
      <c r="B17">
        <v>1039</v>
      </c>
      <c r="D17" t="s">
        <v>348</v>
      </c>
      <c r="E17" t="s">
        <v>424</v>
      </c>
      <c r="F17" t="s">
        <v>425</v>
      </c>
      <c r="G17" t="s">
        <v>378</v>
      </c>
      <c r="J17" t="s">
        <v>87</v>
      </c>
      <c r="K17" s="21">
        <v>46058</v>
      </c>
      <c r="L17" s="21">
        <v>46058</v>
      </c>
      <c r="P17" t="s">
        <v>379</v>
      </c>
      <c r="Q17" t="s">
        <v>379</v>
      </c>
      <c r="S17" t="s">
        <v>380</v>
      </c>
      <c r="T17">
        <v>7373</v>
      </c>
      <c r="U17" t="s">
        <v>381</v>
      </c>
      <c r="AA17" t="s">
        <v>5</v>
      </c>
      <c r="AC17">
        <v>1039</v>
      </c>
      <c r="AD17">
        <v>46221</v>
      </c>
      <c r="AE17">
        <v>46161</v>
      </c>
      <c r="AF17">
        <v>102</v>
      </c>
      <c r="AG17">
        <v>102</v>
      </c>
      <c r="AH17" t="s">
        <v>382</v>
      </c>
      <c r="AI17" t="b">
        <v>0</v>
      </c>
      <c r="AJ17" t="s">
        <v>426</v>
      </c>
      <c r="AK17" t="s">
        <v>384</v>
      </c>
      <c r="AL17" t="s">
        <v>385</v>
      </c>
      <c r="AM17" t="s">
        <v>385</v>
      </c>
      <c r="AN17" t="s">
        <v>384</v>
      </c>
      <c r="AO17" t="s">
        <v>384</v>
      </c>
      <c r="AP17" t="s">
        <v>384</v>
      </c>
      <c r="AQ17" t="s">
        <v>384</v>
      </c>
      <c r="AR17" t="s">
        <v>384</v>
      </c>
      <c r="AS17" t="s">
        <v>384</v>
      </c>
      <c r="AT17" t="s">
        <v>384</v>
      </c>
      <c r="AU17" t="s">
        <v>384</v>
      </c>
      <c r="AV17" t="s">
        <v>384</v>
      </c>
      <c r="AW17" t="s">
        <v>384</v>
      </c>
      <c r="AX17" t="s">
        <v>385</v>
      </c>
      <c r="AY17" t="s">
        <v>384</v>
      </c>
      <c r="AZ17" t="s">
        <v>384</v>
      </c>
      <c r="BA17" t="s">
        <v>385</v>
      </c>
      <c r="BB17" t="s">
        <v>384</v>
      </c>
      <c r="BC17" t="s">
        <v>384</v>
      </c>
      <c r="BD17" t="s">
        <v>384</v>
      </c>
      <c r="BI17" t="s">
        <v>424</v>
      </c>
    </row>
    <row r="18" spans="1:61" x14ac:dyDescent="0.2">
      <c r="A18">
        <v>0</v>
      </c>
      <c r="B18">
        <v>1048</v>
      </c>
      <c r="D18" t="s">
        <v>348</v>
      </c>
      <c r="E18" t="s">
        <v>427</v>
      </c>
      <c r="F18" t="s">
        <v>428</v>
      </c>
      <c r="G18" t="s">
        <v>378</v>
      </c>
      <c r="J18" t="s">
        <v>87</v>
      </c>
      <c r="K18" s="21">
        <v>46060</v>
      </c>
      <c r="L18" s="21">
        <v>46060</v>
      </c>
      <c r="P18" t="s">
        <v>379</v>
      </c>
      <c r="Q18" t="s">
        <v>379</v>
      </c>
      <c r="S18" t="s">
        <v>380</v>
      </c>
      <c r="T18">
        <v>7386</v>
      </c>
      <c r="U18" t="s">
        <v>381</v>
      </c>
      <c r="AA18" t="s">
        <v>5</v>
      </c>
      <c r="AC18">
        <v>1048</v>
      </c>
      <c r="AD18">
        <v>46221</v>
      </c>
      <c r="AE18">
        <v>46161</v>
      </c>
      <c r="AF18">
        <v>102</v>
      </c>
      <c r="AG18">
        <v>102</v>
      </c>
      <c r="AH18" t="s">
        <v>382</v>
      </c>
      <c r="AI18" t="b">
        <v>0</v>
      </c>
      <c r="AJ18" t="s">
        <v>429</v>
      </c>
      <c r="AK18" t="s">
        <v>384</v>
      </c>
      <c r="AL18" t="s">
        <v>385</v>
      </c>
      <c r="AM18" t="s">
        <v>385</v>
      </c>
      <c r="AN18" t="s">
        <v>384</v>
      </c>
      <c r="AO18" t="s">
        <v>384</v>
      </c>
      <c r="AP18" t="s">
        <v>384</v>
      </c>
      <c r="AQ18" t="s">
        <v>384</v>
      </c>
      <c r="AR18" t="s">
        <v>384</v>
      </c>
      <c r="AS18" t="s">
        <v>384</v>
      </c>
      <c r="AT18" t="s">
        <v>384</v>
      </c>
      <c r="AU18" t="s">
        <v>384</v>
      </c>
      <c r="AV18" t="s">
        <v>384</v>
      </c>
      <c r="AW18" t="s">
        <v>384</v>
      </c>
      <c r="AX18" t="s">
        <v>385</v>
      </c>
      <c r="AY18" t="s">
        <v>384</v>
      </c>
      <c r="AZ18" t="s">
        <v>384</v>
      </c>
      <c r="BA18" t="s">
        <v>385</v>
      </c>
      <c r="BB18" t="s">
        <v>384</v>
      </c>
      <c r="BC18" t="s">
        <v>384</v>
      </c>
      <c r="BD18" t="s">
        <v>384</v>
      </c>
      <c r="BI18" t="s">
        <v>427</v>
      </c>
    </row>
    <row r="19" spans="1:61" x14ac:dyDescent="0.2">
      <c r="A19">
        <v>0</v>
      </c>
      <c r="B19">
        <v>1025</v>
      </c>
      <c r="D19" t="s">
        <v>348</v>
      </c>
      <c r="E19" t="s">
        <v>427</v>
      </c>
      <c r="F19" t="s">
        <v>428</v>
      </c>
      <c r="G19" t="s">
        <v>378</v>
      </c>
      <c r="J19" t="s">
        <v>87</v>
      </c>
      <c r="K19" s="21">
        <v>46060</v>
      </c>
      <c r="L19" s="21">
        <v>46060</v>
      </c>
      <c r="P19" t="s">
        <v>379</v>
      </c>
      <c r="Q19" t="s">
        <v>379</v>
      </c>
      <c r="T19">
        <v>7238</v>
      </c>
      <c r="U19" t="s">
        <v>381</v>
      </c>
      <c r="AA19" t="s">
        <v>5</v>
      </c>
      <c r="AC19">
        <v>1025</v>
      </c>
      <c r="AD19">
        <v>46221</v>
      </c>
      <c r="AE19">
        <v>46161</v>
      </c>
      <c r="AF19">
        <v>102</v>
      </c>
      <c r="AG19">
        <v>102</v>
      </c>
      <c r="AH19" t="s">
        <v>382</v>
      </c>
      <c r="AI19" t="b">
        <v>0</v>
      </c>
      <c r="AJ19" t="s">
        <v>430</v>
      </c>
      <c r="AK19" t="s">
        <v>384</v>
      </c>
      <c r="AL19" t="s">
        <v>385</v>
      </c>
      <c r="AM19" t="s">
        <v>385</v>
      </c>
      <c r="AN19" t="s">
        <v>384</v>
      </c>
      <c r="AO19" t="s">
        <v>384</v>
      </c>
      <c r="AP19" t="s">
        <v>384</v>
      </c>
      <c r="AQ19" t="s">
        <v>384</v>
      </c>
      <c r="AR19" t="s">
        <v>384</v>
      </c>
      <c r="AS19" t="s">
        <v>384</v>
      </c>
      <c r="AT19" t="s">
        <v>384</v>
      </c>
      <c r="AU19" t="s">
        <v>384</v>
      </c>
      <c r="AV19" t="s">
        <v>384</v>
      </c>
      <c r="AW19" t="s">
        <v>384</v>
      </c>
      <c r="AX19" t="s">
        <v>385</v>
      </c>
      <c r="AY19" t="s">
        <v>384</v>
      </c>
      <c r="AZ19" t="s">
        <v>384</v>
      </c>
      <c r="BA19" t="s">
        <v>385</v>
      </c>
      <c r="BB19" t="s">
        <v>384</v>
      </c>
      <c r="BC19" t="s">
        <v>384</v>
      </c>
      <c r="BD19" t="s">
        <v>384</v>
      </c>
      <c r="BI19" t="s">
        <v>427</v>
      </c>
    </row>
    <row r="20" spans="1:61" x14ac:dyDescent="0.2">
      <c r="A20">
        <v>0</v>
      </c>
      <c r="B20">
        <v>1052</v>
      </c>
      <c r="D20" t="s">
        <v>348</v>
      </c>
      <c r="E20" t="s">
        <v>431</v>
      </c>
      <c r="F20" t="s">
        <v>432</v>
      </c>
      <c r="G20" t="s">
        <v>378</v>
      </c>
      <c r="J20" t="s">
        <v>87</v>
      </c>
      <c r="K20" s="21">
        <v>46062</v>
      </c>
      <c r="L20" s="21">
        <v>46121</v>
      </c>
      <c r="P20" t="s">
        <v>379</v>
      </c>
      <c r="Q20" t="s">
        <v>379</v>
      </c>
      <c r="S20" t="s">
        <v>380</v>
      </c>
      <c r="T20">
        <v>7392</v>
      </c>
      <c r="U20" t="s">
        <v>381</v>
      </c>
      <c r="AA20" t="s">
        <v>5</v>
      </c>
      <c r="AC20">
        <v>1052</v>
      </c>
      <c r="AD20">
        <v>46221</v>
      </c>
      <c r="AE20">
        <v>46161</v>
      </c>
      <c r="AF20">
        <v>102</v>
      </c>
      <c r="AG20">
        <v>102</v>
      </c>
      <c r="AH20" t="s">
        <v>382</v>
      </c>
      <c r="AI20" t="b">
        <v>0</v>
      </c>
      <c r="AJ20" t="s">
        <v>433</v>
      </c>
      <c r="AK20" t="s">
        <v>384</v>
      </c>
      <c r="AL20" t="s">
        <v>385</v>
      </c>
      <c r="AM20" t="s">
        <v>385</v>
      </c>
      <c r="AN20" t="s">
        <v>384</v>
      </c>
      <c r="AO20" t="s">
        <v>384</v>
      </c>
      <c r="AP20" t="s">
        <v>384</v>
      </c>
      <c r="AQ20" t="s">
        <v>384</v>
      </c>
      <c r="AR20" t="s">
        <v>384</v>
      </c>
      <c r="AS20" t="s">
        <v>384</v>
      </c>
      <c r="AT20" t="s">
        <v>384</v>
      </c>
      <c r="AU20" t="s">
        <v>384</v>
      </c>
      <c r="AV20" t="s">
        <v>384</v>
      </c>
      <c r="AW20" t="s">
        <v>384</v>
      </c>
      <c r="AX20" t="s">
        <v>385</v>
      </c>
      <c r="AY20" t="s">
        <v>384</v>
      </c>
      <c r="AZ20" t="s">
        <v>384</v>
      </c>
      <c r="BA20" t="s">
        <v>385</v>
      </c>
      <c r="BB20" t="s">
        <v>384</v>
      </c>
      <c r="BC20" t="s">
        <v>384</v>
      </c>
      <c r="BD20" t="s">
        <v>384</v>
      </c>
      <c r="BI20" t="s">
        <v>431</v>
      </c>
    </row>
    <row r="21" spans="1:61" x14ac:dyDescent="0.2">
      <c r="A21">
        <v>0</v>
      </c>
      <c r="B21">
        <v>1053</v>
      </c>
      <c r="D21" t="s">
        <v>348</v>
      </c>
      <c r="E21" t="s">
        <v>389</v>
      </c>
      <c r="F21" t="s">
        <v>434</v>
      </c>
      <c r="G21" t="s">
        <v>378</v>
      </c>
      <c r="J21" t="s">
        <v>87</v>
      </c>
      <c r="K21" s="21">
        <v>46062</v>
      </c>
      <c r="L21" s="21">
        <v>46121</v>
      </c>
      <c r="P21" t="s">
        <v>379</v>
      </c>
      <c r="Q21" t="s">
        <v>379</v>
      </c>
      <c r="S21" t="s">
        <v>380</v>
      </c>
      <c r="T21">
        <v>7393</v>
      </c>
      <c r="U21" t="s">
        <v>381</v>
      </c>
      <c r="AA21" t="s">
        <v>5</v>
      </c>
      <c r="AC21">
        <v>1053</v>
      </c>
      <c r="AD21">
        <v>46221</v>
      </c>
      <c r="AE21">
        <v>46161</v>
      </c>
      <c r="AF21">
        <v>102</v>
      </c>
      <c r="AG21">
        <v>102</v>
      </c>
      <c r="AH21" t="s">
        <v>382</v>
      </c>
      <c r="AI21" t="b">
        <v>0</v>
      </c>
      <c r="AJ21" t="s">
        <v>435</v>
      </c>
      <c r="AK21" t="s">
        <v>384</v>
      </c>
      <c r="AL21" t="s">
        <v>385</v>
      </c>
      <c r="AM21" t="s">
        <v>385</v>
      </c>
      <c r="AN21" t="s">
        <v>384</v>
      </c>
      <c r="AO21" t="s">
        <v>384</v>
      </c>
      <c r="AP21" t="s">
        <v>384</v>
      </c>
      <c r="AQ21" t="s">
        <v>384</v>
      </c>
      <c r="AR21" t="s">
        <v>384</v>
      </c>
      <c r="AS21" t="s">
        <v>384</v>
      </c>
      <c r="AT21" t="s">
        <v>384</v>
      </c>
      <c r="AU21" t="s">
        <v>384</v>
      </c>
      <c r="AV21" t="s">
        <v>384</v>
      </c>
      <c r="AW21" t="s">
        <v>384</v>
      </c>
      <c r="AX21" t="s">
        <v>385</v>
      </c>
      <c r="AY21" t="s">
        <v>384</v>
      </c>
      <c r="AZ21" t="s">
        <v>384</v>
      </c>
      <c r="BA21" t="s">
        <v>385</v>
      </c>
      <c r="BB21" t="s">
        <v>384</v>
      </c>
      <c r="BC21" t="s">
        <v>384</v>
      </c>
      <c r="BD21" t="s">
        <v>384</v>
      </c>
      <c r="BI21" t="s">
        <v>389</v>
      </c>
    </row>
    <row r="22" spans="1:61" x14ac:dyDescent="0.2">
      <c r="A22">
        <v>0</v>
      </c>
      <c r="B22">
        <v>1029</v>
      </c>
      <c r="D22" t="s">
        <v>348</v>
      </c>
      <c r="E22" t="s">
        <v>431</v>
      </c>
      <c r="F22" t="s">
        <v>432</v>
      </c>
      <c r="G22" t="s">
        <v>378</v>
      </c>
      <c r="J22" t="s">
        <v>87</v>
      </c>
      <c r="K22" s="21">
        <v>46062</v>
      </c>
      <c r="L22" s="21">
        <v>46121</v>
      </c>
      <c r="P22" t="s">
        <v>379</v>
      </c>
      <c r="Q22" t="s">
        <v>379</v>
      </c>
      <c r="T22">
        <v>7247</v>
      </c>
      <c r="U22" t="s">
        <v>381</v>
      </c>
      <c r="AA22" t="s">
        <v>5</v>
      </c>
      <c r="AC22">
        <v>1029</v>
      </c>
      <c r="AD22">
        <v>46221</v>
      </c>
      <c r="AE22">
        <v>46161</v>
      </c>
      <c r="AF22">
        <v>102</v>
      </c>
      <c r="AG22">
        <v>102</v>
      </c>
      <c r="AH22" t="s">
        <v>382</v>
      </c>
      <c r="AI22" t="b">
        <v>0</v>
      </c>
      <c r="AJ22" t="s">
        <v>436</v>
      </c>
      <c r="AK22" t="s">
        <v>384</v>
      </c>
      <c r="AL22" t="s">
        <v>385</v>
      </c>
      <c r="AM22" t="s">
        <v>385</v>
      </c>
      <c r="AN22" t="s">
        <v>384</v>
      </c>
      <c r="AO22" t="s">
        <v>384</v>
      </c>
      <c r="AP22" t="s">
        <v>384</v>
      </c>
      <c r="AQ22" t="s">
        <v>384</v>
      </c>
      <c r="AR22" t="s">
        <v>384</v>
      </c>
      <c r="AS22" t="s">
        <v>384</v>
      </c>
      <c r="AT22" t="s">
        <v>384</v>
      </c>
      <c r="AU22" t="s">
        <v>384</v>
      </c>
      <c r="AV22" t="s">
        <v>384</v>
      </c>
      <c r="AW22" t="s">
        <v>384</v>
      </c>
      <c r="AX22" t="s">
        <v>385</v>
      </c>
      <c r="AY22" t="s">
        <v>384</v>
      </c>
      <c r="AZ22" t="s">
        <v>384</v>
      </c>
      <c r="BA22" t="s">
        <v>385</v>
      </c>
      <c r="BB22" t="s">
        <v>384</v>
      </c>
      <c r="BC22" t="s">
        <v>384</v>
      </c>
      <c r="BD22" t="s">
        <v>384</v>
      </c>
      <c r="BI22" t="s">
        <v>431</v>
      </c>
    </row>
    <row r="23" spans="1:61" x14ac:dyDescent="0.2">
      <c r="A23">
        <v>0</v>
      </c>
      <c r="B23">
        <v>1030</v>
      </c>
      <c r="D23" t="s">
        <v>348</v>
      </c>
      <c r="E23" t="s">
        <v>389</v>
      </c>
      <c r="F23" t="s">
        <v>434</v>
      </c>
      <c r="G23" t="s">
        <v>378</v>
      </c>
      <c r="J23" t="s">
        <v>87</v>
      </c>
      <c r="K23" s="21">
        <v>46062</v>
      </c>
      <c r="L23" s="21">
        <v>46121</v>
      </c>
      <c r="P23" t="s">
        <v>379</v>
      </c>
      <c r="Q23" t="s">
        <v>379</v>
      </c>
      <c r="T23">
        <v>7248</v>
      </c>
      <c r="U23" t="s">
        <v>381</v>
      </c>
      <c r="AA23" t="s">
        <v>5</v>
      </c>
      <c r="AC23">
        <v>1030</v>
      </c>
      <c r="AD23">
        <v>46221</v>
      </c>
      <c r="AE23">
        <v>46161</v>
      </c>
      <c r="AF23">
        <v>102</v>
      </c>
      <c r="AG23">
        <v>102</v>
      </c>
      <c r="AH23" t="s">
        <v>382</v>
      </c>
      <c r="AI23" t="b">
        <v>0</v>
      </c>
      <c r="AJ23" t="s">
        <v>437</v>
      </c>
      <c r="AK23" t="s">
        <v>384</v>
      </c>
      <c r="AL23" t="s">
        <v>385</v>
      </c>
      <c r="AM23" t="s">
        <v>385</v>
      </c>
      <c r="AN23" t="s">
        <v>384</v>
      </c>
      <c r="AO23" t="s">
        <v>384</v>
      </c>
      <c r="AP23" t="s">
        <v>384</v>
      </c>
      <c r="AQ23" t="s">
        <v>384</v>
      </c>
      <c r="AR23" t="s">
        <v>384</v>
      </c>
      <c r="AS23" t="s">
        <v>384</v>
      </c>
      <c r="AT23" t="s">
        <v>384</v>
      </c>
      <c r="AU23" t="s">
        <v>384</v>
      </c>
      <c r="AV23" t="s">
        <v>384</v>
      </c>
      <c r="AW23" t="s">
        <v>384</v>
      </c>
      <c r="AX23" t="s">
        <v>385</v>
      </c>
      <c r="AY23" t="s">
        <v>384</v>
      </c>
      <c r="AZ23" t="s">
        <v>384</v>
      </c>
      <c r="BA23" t="s">
        <v>385</v>
      </c>
      <c r="BB23" t="s">
        <v>384</v>
      </c>
      <c r="BC23" t="s">
        <v>384</v>
      </c>
      <c r="BD23" t="s">
        <v>384</v>
      </c>
      <c r="BI23" t="s">
        <v>389</v>
      </c>
    </row>
    <row r="24" spans="1:61" x14ac:dyDescent="0.2">
      <c r="A24">
        <v>0</v>
      </c>
      <c r="B24">
        <v>992</v>
      </c>
      <c r="D24" t="s">
        <v>348</v>
      </c>
      <c r="E24" t="s">
        <v>405</v>
      </c>
      <c r="F24" t="s">
        <v>406</v>
      </c>
      <c r="G24" t="s">
        <v>378</v>
      </c>
      <c r="J24" t="s">
        <v>87</v>
      </c>
      <c r="K24" s="21">
        <v>46067</v>
      </c>
      <c r="L24" s="21">
        <v>46067</v>
      </c>
      <c r="P24" t="s">
        <v>379</v>
      </c>
      <c r="Q24" t="s">
        <v>379</v>
      </c>
      <c r="S24" t="s">
        <v>407</v>
      </c>
      <c r="T24">
        <v>5782</v>
      </c>
      <c r="U24" t="s">
        <v>381</v>
      </c>
      <c r="AA24" t="s">
        <v>5</v>
      </c>
      <c r="AC24">
        <v>992</v>
      </c>
      <c r="AD24">
        <v>46221</v>
      </c>
      <c r="AE24">
        <v>46161</v>
      </c>
      <c r="AF24">
        <v>102</v>
      </c>
      <c r="AG24">
        <v>102</v>
      </c>
      <c r="AH24" t="s">
        <v>382</v>
      </c>
      <c r="AI24" t="b">
        <v>0</v>
      </c>
      <c r="AJ24" t="s">
        <v>438</v>
      </c>
      <c r="AK24" t="s">
        <v>384</v>
      </c>
      <c r="AL24" t="s">
        <v>385</v>
      </c>
      <c r="AM24" t="s">
        <v>385</v>
      </c>
      <c r="AN24" t="s">
        <v>384</v>
      </c>
      <c r="AO24" t="s">
        <v>384</v>
      </c>
      <c r="AP24" t="s">
        <v>384</v>
      </c>
      <c r="AQ24" t="s">
        <v>384</v>
      </c>
      <c r="AR24" t="s">
        <v>384</v>
      </c>
      <c r="AS24" t="s">
        <v>384</v>
      </c>
      <c r="AT24" t="s">
        <v>384</v>
      </c>
      <c r="AU24" t="s">
        <v>384</v>
      </c>
      <c r="AV24" t="s">
        <v>384</v>
      </c>
      <c r="AW24" t="s">
        <v>384</v>
      </c>
      <c r="AX24" t="s">
        <v>385</v>
      </c>
      <c r="AY24" t="s">
        <v>384</v>
      </c>
      <c r="AZ24" t="s">
        <v>384</v>
      </c>
      <c r="BA24" t="s">
        <v>385</v>
      </c>
      <c r="BB24" t="s">
        <v>384</v>
      </c>
      <c r="BC24" t="s">
        <v>384</v>
      </c>
      <c r="BD24" t="s">
        <v>384</v>
      </c>
      <c r="BI24" t="s">
        <v>405</v>
      </c>
    </row>
    <row r="25" spans="1:61" x14ac:dyDescent="0.2">
      <c r="A25">
        <v>0</v>
      </c>
      <c r="B25">
        <v>951</v>
      </c>
      <c r="D25" t="s">
        <v>348</v>
      </c>
      <c r="E25" t="s">
        <v>409</v>
      </c>
      <c r="F25" t="s">
        <v>410</v>
      </c>
      <c r="G25" t="s">
        <v>378</v>
      </c>
      <c r="J25" t="s">
        <v>87</v>
      </c>
      <c r="K25" s="21">
        <v>46068</v>
      </c>
      <c r="L25" s="21">
        <v>46068</v>
      </c>
      <c r="P25" t="s">
        <v>379</v>
      </c>
      <c r="Q25" t="s">
        <v>379</v>
      </c>
      <c r="T25">
        <v>5741</v>
      </c>
      <c r="U25" t="s">
        <v>381</v>
      </c>
      <c r="AA25" t="s">
        <v>5</v>
      </c>
      <c r="AC25">
        <v>951</v>
      </c>
      <c r="AD25">
        <v>46221</v>
      </c>
      <c r="AE25">
        <v>46161</v>
      </c>
      <c r="AF25">
        <v>102</v>
      </c>
      <c r="AG25">
        <v>102</v>
      </c>
      <c r="AH25" t="s">
        <v>382</v>
      </c>
      <c r="AI25" t="b">
        <v>0</v>
      </c>
      <c r="AJ25" t="s">
        <v>439</v>
      </c>
      <c r="AK25" t="s">
        <v>384</v>
      </c>
      <c r="AL25" t="s">
        <v>385</v>
      </c>
      <c r="AM25" t="s">
        <v>385</v>
      </c>
      <c r="AN25" t="s">
        <v>384</v>
      </c>
      <c r="AO25" t="s">
        <v>384</v>
      </c>
      <c r="AP25" t="s">
        <v>384</v>
      </c>
      <c r="AQ25" t="s">
        <v>384</v>
      </c>
      <c r="AR25" t="s">
        <v>384</v>
      </c>
      <c r="AS25" t="s">
        <v>384</v>
      </c>
      <c r="AT25" t="s">
        <v>384</v>
      </c>
      <c r="AU25" t="s">
        <v>384</v>
      </c>
      <c r="AV25" t="s">
        <v>384</v>
      </c>
      <c r="AW25" t="s">
        <v>384</v>
      </c>
      <c r="AX25" t="s">
        <v>385</v>
      </c>
      <c r="AY25" t="s">
        <v>384</v>
      </c>
      <c r="AZ25" t="s">
        <v>384</v>
      </c>
      <c r="BA25" t="s">
        <v>385</v>
      </c>
      <c r="BB25" t="s">
        <v>384</v>
      </c>
      <c r="BC25" t="s">
        <v>384</v>
      </c>
      <c r="BD25" t="s">
        <v>384</v>
      </c>
      <c r="BI25" t="s">
        <v>409</v>
      </c>
    </row>
    <row r="26" spans="1:61" x14ac:dyDescent="0.2">
      <c r="A26">
        <v>0</v>
      </c>
      <c r="B26">
        <v>971</v>
      </c>
      <c r="D26" t="s">
        <v>348</v>
      </c>
      <c r="E26" t="s">
        <v>440</v>
      </c>
      <c r="F26" t="s">
        <v>406</v>
      </c>
      <c r="G26" t="s">
        <v>378</v>
      </c>
      <c r="J26" t="s">
        <v>87</v>
      </c>
      <c r="K26" s="21">
        <v>46068</v>
      </c>
      <c r="L26" s="21">
        <v>46068</v>
      </c>
      <c r="P26" t="s">
        <v>379</v>
      </c>
      <c r="Q26" t="s">
        <v>379</v>
      </c>
      <c r="T26">
        <v>5761</v>
      </c>
      <c r="U26" t="s">
        <v>381</v>
      </c>
      <c r="Z26" t="s">
        <v>413</v>
      </c>
      <c r="AA26" t="s">
        <v>5</v>
      </c>
      <c r="AC26">
        <v>971</v>
      </c>
      <c r="AD26">
        <v>46221</v>
      </c>
      <c r="AE26">
        <v>46161</v>
      </c>
      <c r="AF26">
        <v>102</v>
      </c>
      <c r="AG26">
        <v>102</v>
      </c>
      <c r="AH26" t="s">
        <v>414</v>
      </c>
      <c r="AI26" t="b">
        <v>0</v>
      </c>
      <c r="AJ26" t="s">
        <v>441</v>
      </c>
      <c r="AK26" t="s">
        <v>384</v>
      </c>
      <c r="AL26" t="s">
        <v>385</v>
      </c>
      <c r="AM26" t="s">
        <v>385</v>
      </c>
      <c r="AN26" t="s">
        <v>384</v>
      </c>
      <c r="AO26" t="s">
        <v>384</v>
      </c>
      <c r="AP26" t="s">
        <v>384</v>
      </c>
      <c r="AQ26" t="s">
        <v>384</v>
      </c>
      <c r="AR26" t="s">
        <v>384</v>
      </c>
      <c r="AS26" t="s">
        <v>384</v>
      </c>
      <c r="AT26" t="s">
        <v>384</v>
      </c>
      <c r="AU26" t="s">
        <v>384</v>
      </c>
      <c r="AV26" t="s">
        <v>384</v>
      </c>
      <c r="AW26" t="s">
        <v>384</v>
      </c>
      <c r="AX26" t="s">
        <v>385</v>
      </c>
      <c r="AY26" t="s">
        <v>384</v>
      </c>
      <c r="AZ26" t="s">
        <v>384</v>
      </c>
      <c r="BA26" t="s">
        <v>385</v>
      </c>
      <c r="BB26" t="s">
        <v>384</v>
      </c>
      <c r="BC26" t="s">
        <v>384</v>
      </c>
      <c r="BD26" t="s">
        <v>384</v>
      </c>
      <c r="BI26" t="s">
        <v>440</v>
      </c>
    </row>
    <row r="27" spans="1:61" x14ac:dyDescent="0.2">
      <c r="A27">
        <v>0</v>
      </c>
      <c r="B27">
        <v>980</v>
      </c>
      <c r="D27" t="s">
        <v>348</v>
      </c>
      <c r="E27" t="s">
        <v>442</v>
      </c>
      <c r="F27" t="s">
        <v>406</v>
      </c>
      <c r="G27" t="s">
        <v>378</v>
      </c>
      <c r="J27" t="s">
        <v>87</v>
      </c>
      <c r="K27" s="21">
        <v>46070</v>
      </c>
      <c r="L27" s="21">
        <v>46070</v>
      </c>
      <c r="P27" t="s">
        <v>379</v>
      </c>
      <c r="Q27" t="s">
        <v>379</v>
      </c>
      <c r="T27">
        <v>5770</v>
      </c>
      <c r="U27" t="s">
        <v>381</v>
      </c>
      <c r="AA27" t="s">
        <v>5</v>
      </c>
      <c r="AC27">
        <v>980</v>
      </c>
      <c r="AD27">
        <v>46221</v>
      </c>
      <c r="AE27">
        <v>46161</v>
      </c>
      <c r="AF27">
        <v>102</v>
      </c>
      <c r="AG27">
        <v>102</v>
      </c>
      <c r="AH27" t="s">
        <v>382</v>
      </c>
      <c r="AI27" t="b">
        <v>0</v>
      </c>
      <c r="AJ27" t="s">
        <v>443</v>
      </c>
      <c r="AK27" t="s">
        <v>384</v>
      </c>
      <c r="AL27" t="s">
        <v>385</v>
      </c>
      <c r="AM27" t="s">
        <v>385</v>
      </c>
      <c r="AN27" t="s">
        <v>384</v>
      </c>
      <c r="AO27" t="s">
        <v>384</v>
      </c>
      <c r="AP27" t="s">
        <v>384</v>
      </c>
      <c r="AQ27" t="s">
        <v>384</v>
      </c>
      <c r="AR27" t="s">
        <v>384</v>
      </c>
      <c r="AS27" t="s">
        <v>384</v>
      </c>
      <c r="AT27" t="s">
        <v>384</v>
      </c>
      <c r="AU27" t="s">
        <v>384</v>
      </c>
      <c r="AV27" t="s">
        <v>384</v>
      </c>
      <c r="AW27" t="s">
        <v>384</v>
      </c>
      <c r="AX27" t="s">
        <v>385</v>
      </c>
      <c r="AY27" t="s">
        <v>384</v>
      </c>
      <c r="AZ27" t="s">
        <v>384</v>
      </c>
      <c r="BA27" t="s">
        <v>385</v>
      </c>
      <c r="BB27" t="s">
        <v>384</v>
      </c>
      <c r="BC27" t="s">
        <v>384</v>
      </c>
      <c r="BD27" t="s">
        <v>384</v>
      </c>
      <c r="BI27" t="s">
        <v>442</v>
      </c>
    </row>
    <row r="28" spans="1:61" x14ac:dyDescent="0.2">
      <c r="A28">
        <v>0</v>
      </c>
      <c r="B28">
        <v>963</v>
      </c>
      <c r="D28" t="s">
        <v>348</v>
      </c>
      <c r="E28" t="s">
        <v>412</v>
      </c>
      <c r="F28" t="s">
        <v>406</v>
      </c>
      <c r="G28" t="s">
        <v>378</v>
      </c>
      <c r="J28" t="s">
        <v>87</v>
      </c>
      <c r="K28" s="21">
        <v>46070</v>
      </c>
      <c r="L28" s="21">
        <v>46070</v>
      </c>
      <c r="P28" t="s">
        <v>379</v>
      </c>
      <c r="Q28" t="s">
        <v>379</v>
      </c>
      <c r="S28" t="s">
        <v>129</v>
      </c>
      <c r="T28">
        <v>5753</v>
      </c>
      <c r="U28" t="s">
        <v>381</v>
      </c>
      <c r="Z28" t="s">
        <v>413</v>
      </c>
      <c r="AA28" t="s">
        <v>5</v>
      </c>
      <c r="AC28">
        <v>963</v>
      </c>
      <c r="AD28">
        <v>46221</v>
      </c>
      <c r="AE28">
        <v>46161</v>
      </c>
      <c r="AF28">
        <v>102</v>
      </c>
      <c r="AG28">
        <v>102</v>
      </c>
      <c r="AH28" t="s">
        <v>414</v>
      </c>
      <c r="AI28" t="b">
        <v>0</v>
      </c>
      <c r="AJ28" t="s">
        <v>444</v>
      </c>
      <c r="AK28" t="s">
        <v>384</v>
      </c>
      <c r="AL28" t="s">
        <v>385</v>
      </c>
      <c r="AM28" t="s">
        <v>385</v>
      </c>
      <c r="AN28" t="s">
        <v>384</v>
      </c>
      <c r="AO28" t="s">
        <v>384</v>
      </c>
      <c r="AP28" t="s">
        <v>384</v>
      </c>
      <c r="AQ28" t="s">
        <v>384</v>
      </c>
      <c r="AR28" t="s">
        <v>384</v>
      </c>
      <c r="AS28" t="s">
        <v>384</v>
      </c>
      <c r="AT28" t="s">
        <v>384</v>
      </c>
      <c r="AU28" t="s">
        <v>384</v>
      </c>
      <c r="AV28" t="s">
        <v>384</v>
      </c>
      <c r="AW28" t="s">
        <v>384</v>
      </c>
      <c r="AX28" t="s">
        <v>385</v>
      </c>
      <c r="AY28" t="s">
        <v>384</v>
      </c>
      <c r="AZ28" t="s">
        <v>384</v>
      </c>
      <c r="BA28" t="s">
        <v>385</v>
      </c>
      <c r="BB28" t="s">
        <v>384</v>
      </c>
      <c r="BC28" t="s">
        <v>384</v>
      </c>
      <c r="BD28" t="s">
        <v>384</v>
      </c>
      <c r="BI28" t="s">
        <v>412</v>
      </c>
    </row>
    <row r="29" spans="1:61" x14ac:dyDescent="0.2">
      <c r="A29">
        <v>0</v>
      </c>
      <c r="B29">
        <v>928</v>
      </c>
      <c r="D29" t="s">
        <v>348</v>
      </c>
      <c r="E29" t="s">
        <v>445</v>
      </c>
      <c r="F29" t="s">
        <v>406</v>
      </c>
      <c r="G29" t="s">
        <v>378</v>
      </c>
      <c r="J29" t="s">
        <v>87</v>
      </c>
      <c r="K29" s="21">
        <v>46071</v>
      </c>
      <c r="L29" s="21">
        <v>46071</v>
      </c>
      <c r="P29" t="s">
        <v>379</v>
      </c>
      <c r="Q29" t="s">
        <v>379</v>
      </c>
      <c r="T29">
        <v>5718</v>
      </c>
      <c r="U29" t="s">
        <v>381</v>
      </c>
      <c r="AA29" t="s">
        <v>5</v>
      </c>
      <c r="AC29">
        <v>928</v>
      </c>
      <c r="AD29">
        <v>46221</v>
      </c>
      <c r="AE29">
        <v>46161</v>
      </c>
      <c r="AF29">
        <v>102</v>
      </c>
      <c r="AG29">
        <v>102</v>
      </c>
      <c r="AH29" t="s">
        <v>382</v>
      </c>
      <c r="AI29" t="b">
        <v>0</v>
      </c>
      <c r="AJ29" t="s">
        <v>446</v>
      </c>
      <c r="AK29" t="s">
        <v>384</v>
      </c>
      <c r="AL29" t="s">
        <v>385</v>
      </c>
      <c r="AM29" t="s">
        <v>385</v>
      </c>
      <c r="AN29" t="s">
        <v>384</v>
      </c>
      <c r="AO29" t="s">
        <v>384</v>
      </c>
      <c r="AP29" t="s">
        <v>384</v>
      </c>
      <c r="AQ29" t="s">
        <v>384</v>
      </c>
      <c r="AR29" t="s">
        <v>384</v>
      </c>
      <c r="AS29" t="s">
        <v>384</v>
      </c>
      <c r="AT29" t="s">
        <v>384</v>
      </c>
      <c r="AU29" t="s">
        <v>384</v>
      </c>
      <c r="AV29" t="s">
        <v>384</v>
      </c>
      <c r="AW29" t="s">
        <v>384</v>
      </c>
      <c r="AX29" t="s">
        <v>385</v>
      </c>
      <c r="AY29" t="s">
        <v>384</v>
      </c>
      <c r="AZ29" t="s">
        <v>384</v>
      </c>
      <c r="BA29" t="s">
        <v>385</v>
      </c>
      <c r="BB29" t="s">
        <v>384</v>
      </c>
      <c r="BC29" t="s">
        <v>384</v>
      </c>
      <c r="BD29" t="s">
        <v>384</v>
      </c>
      <c r="BI29" t="s">
        <v>445</v>
      </c>
    </row>
    <row r="30" spans="1:61" x14ac:dyDescent="0.2">
      <c r="A30">
        <v>0</v>
      </c>
      <c r="B30">
        <v>882</v>
      </c>
      <c r="D30" t="s">
        <v>348</v>
      </c>
      <c r="E30" t="s">
        <v>447</v>
      </c>
      <c r="F30" t="s">
        <v>448</v>
      </c>
      <c r="G30" t="s">
        <v>378</v>
      </c>
      <c r="J30" t="s">
        <v>87</v>
      </c>
      <c r="K30" s="21">
        <v>46072</v>
      </c>
      <c r="L30" s="21">
        <v>46072</v>
      </c>
      <c r="P30" t="s">
        <v>379</v>
      </c>
      <c r="Q30" t="s">
        <v>379</v>
      </c>
      <c r="T30">
        <v>5669</v>
      </c>
      <c r="U30" t="s">
        <v>381</v>
      </c>
      <c r="AA30" t="s">
        <v>5</v>
      </c>
      <c r="AC30">
        <v>882</v>
      </c>
      <c r="AD30">
        <v>46221</v>
      </c>
      <c r="AE30">
        <v>46161</v>
      </c>
      <c r="AF30">
        <v>102</v>
      </c>
      <c r="AG30">
        <v>102</v>
      </c>
      <c r="AH30" t="s">
        <v>382</v>
      </c>
      <c r="AI30" t="b">
        <v>0</v>
      </c>
      <c r="AJ30" t="s">
        <v>449</v>
      </c>
      <c r="AK30" t="s">
        <v>384</v>
      </c>
      <c r="AL30" t="s">
        <v>385</v>
      </c>
      <c r="AM30" t="s">
        <v>385</v>
      </c>
      <c r="AN30" t="s">
        <v>384</v>
      </c>
      <c r="AO30" t="s">
        <v>384</v>
      </c>
      <c r="AP30" t="s">
        <v>384</v>
      </c>
      <c r="AQ30" t="s">
        <v>384</v>
      </c>
      <c r="AR30" t="s">
        <v>384</v>
      </c>
      <c r="AS30" t="s">
        <v>384</v>
      </c>
      <c r="AT30" t="s">
        <v>384</v>
      </c>
      <c r="AU30" t="s">
        <v>384</v>
      </c>
      <c r="AV30" t="s">
        <v>384</v>
      </c>
      <c r="AW30" t="s">
        <v>384</v>
      </c>
      <c r="AX30" t="s">
        <v>385</v>
      </c>
      <c r="AY30" t="s">
        <v>384</v>
      </c>
      <c r="AZ30" t="s">
        <v>384</v>
      </c>
      <c r="BA30" t="s">
        <v>385</v>
      </c>
      <c r="BB30" t="s">
        <v>384</v>
      </c>
      <c r="BC30" t="s">
        <v>384</v>
      </c>
      <c r="BD30" t="s">
        <v>384</v>
      </c>
      <c r="BI30" t="s">
        <v>447</v>
      </c>
    </row>
    <row r="31" spans="1:61" x14ac:dyDescent="0.2">
      <c r="A31">
        <v>0</v>
      </c>
      <c r="B31">
        <v>1009</v>
      </c>
      <c r="D31" t="s">
        <v>348</v>
      </c>
      <c r="E31" t="s">
        <v>450</v>
      </c>
      <c r="F31" t="s">
        <v>451</v>
      </c>
      <c r="G31" t="s">
        <v>378</v>
      </c>
      <c r="J31" t="s">
        <v>87</v>
      </c>
      <c r="K31" s="21">
        <v>46072</v>
      </c>
      <c r="L31" s="21">
        <v>46074</v>
      </c>
      <c r="P31" t="s">
        <v>379</v>
      </c>
      <c r="Q31" t="s">
        <v>379</v>
      </c>
      <c r="S31" t="s">
        <v>380</v>
      </c>
      <c r="T31">
        <v>7154</v>
      </c>
      <c r="U31" t="s">
        <v>381</v>
      </c>
      <c r="AA31" t="s">
        <v>5</v>
      </c>
      <c r="AC31">
        <v>1009</v>
      </c>
      <c r="AD31">
        <v>46221</v>
      </c>
      <c r="AE31">
        <v>46161</v>
      </c>
      <c r="AF31">
        <v>102</v>
      </c>
      <c r="AG31">
        <v>102</v>
      </c>
      <c r="AH31" t="s">
        <v>382</v>
      </c>
      <c r="AI31" t="b">
        <v>0</v>
      </c>
      <c r="AJ31" t="s">
        <v>452</v>
      </c>
      <c r="AK31" t="s">
        <v>384</v>
      </c>
      <c r="AL31" t="s">
        <v>385</v>
      </c>
      <c r="AM31" t="s">
        <v>385</v>
      </c>
      <c r="AN31" t="s">
        <v>384</v>
      </c>
      <c r="AO31" t="s">
        <v>384</v>
      </c>
      <c r="AP31" t="s">
        <v>384</v>
      </c>
      <c r="AQ31" t="s">
        <v>384</v>
      </c>
      <c r="AR31" t="s">
        <v>384</v>
      </c>
      <c r="AS31" t="s">
        <v>384</v>
      </c>
      <c r="AT31" t="s">
        <v>384</v>
      </c>
      <c r="AU31" t="s">
        <v>384</v>
      </c>
      <c r="AV31" t="s">
        <v>384</v>
      </c>
      <c r="AW31" t="s">
        <v>384</v>
      </c>
      <c r="AX31" t="s">
        <v>385</v>
      </c>
      <c r="AY31" t="s">
        <v>384</v>
      </c>
      <c r="AZ31" t="s">
        <v>384</v>
      </c>
      <c r="BA31" t="s">
        <v>385</v>
      </c>
      <c r="BB31" t="s">
        <v>384</v>
      </c>
      <c r="BC31" t="s">
        <v>384</v>
      </c>
      <c r="BD31" t="s">
        <v>384</v>
      </c>
      <c r="BI31" t="s">
        <v>450</v>
      </c>
    </row>
    <row r="32" spans="1:61" x14ac:dyDescent="0.2">
      <c r="A32">
        <v>0</v>
      </c>
      <c r="B32">
        <v>1060</v>
      </c>
      <c r="D32" t="s">
        <v>348</v>
      </c>
      <c r="E32" t="s">
        <v>450</v>
      </c>
      <c r="F32" t="s">
        <v>451</v>
      </c>
      <c r="G32" t="s">
        <v>378</v>
      </c>
      <c r="J32" t="s">
        <v>87</v>
      </c>
      <c r="K32" s="21">
        <v>46072</v>
      </c>
      <c r="L32" s="21">
        <v>46074</v>
      </c>
      <c r="P32" t="s">
        <v>379</v>
      </c>
      <c r="Q32" t="s">
        <v>379</v>
      </c>
      <c r="S32" t="s">
        <v>380</v>
      </c>
      <c r="T32">
        <v>7478</v>
      </c>
      <c r="U32" t="s">
        <v>381</v>
      </c>
      <c r="AA32" t="s">
        <v>5</v>
      </c>
      <c r="AC32">
        <v>1060</v>
      </c>
      <c r="AD32">
        <v>46221</v>
      </c>
      <c r="AE32">
        <v>46161</v>
      </c>
      <c r="AF32">
        <v>102</v>
      </c>
      <c r="AG32">
        <v>102</v>
      </c>
      <c r="AH32" t="s">
        <v>382</v>
      </c>
      <c r="AI32" t="b">
        <v>0</v>
      </c>
      <c r="AJ32" t="s">
        <v>453</v>
      </c>
      <c r="AK32" t="s">
        <v>384</v>
      </c>
      <c r="AL32" t="s">
        <v>385</v>
      </c>
      <c r="AM32" t="s">
        <v>385</v>
      </c>
      <c r="AN32" t="s">
        <v>384</v>
      </c>
      <c r="AO32" t="s">
        <v>384</v>
      </c>
      <c r="AP32" t="s">
        <v>384</v>
      </c>
      <c r="AQ32" t="s">
        <v>384</v>
      </c>
      <c r="AR32" t="s">
        <v>384</v>
      </c>
      <c r="AS32" t="s">
        <v>384</v>
      </c>
      <c r="AT32" t="s">
        <v>384</v>
      </c>
      <c r="AU32" t="s">
        <v>384</v>
      </c>
      <c r="AV32" t="s">
        <v>384</v>
      </c>
      <c r="AW32" t="s">
        <v>384</v>
      </c>
      <c r="AX32" t="s">
        <v>385</v>
      </c>
      <c r="AY32" t="s">
        <v>384</v>
      </c>
      <c r="AZ32" t="s">
        <v>384</v>
      </c>
      <c r="BA32" t="s">
        <v>385</v>
      </c>
      <c r="BB32" t="s">
        <v>384</v>
      </c>
      <c r="BC32" t="s">
        <v>384</v>
      </c>
      <c r="BD32" t="s">
        <v>384</v>
      </c>
      <c r="BI32" t="s">
        <v>450</v>
      </c>
    </row>
    <row r="33" spans="1:61" x14ac:dyDescent="0.2">
      <c r="A33">
        <v>0</v>
      </c>
      <c r="B33">
        <v>899</v>
      </c>
      <c r="D33" t="s">
        <v>348</v>
      </c>
      <c r="E33" t="s">
        <v>454</v>
      </c>
      <c r="F33" t="s">
        <v>416</v>
      </c>
      <c r="G33" t="s">
        <v>378</v>
      </c>
      <c r="J33" t="s">
        <v>87</v>
      </c>
      <c r="K33" s="21">
        <v>46072</v>
      </c>
      <c r="L33" s="21">
        <v>46074</v>
      </c>
      <c r="P33" t="s">
        <v>379</v>
      </c>
      <c r="Q33" t="s">
        <v>379</v>
      </c>
      <c r="T33">
        <v>5688</v>
      </c>
      <c r="U33" t="s">
        <v>381</v>
      </c>
      <c r="AA33" t="s">
        <v>5</v>
      </c>
      <c r="AC33">
        <v>899</v>
      </c>
      <c r="AD33">
        <v>46221</v>
      </c>
      <c r="AE33">
        <v>46161</v>
      </c>
      <c r="AF33">
        <v>102</v>
      </c>
      <c r="AG33">
        <v>102</v>
      </c>
      <c r="AH33" t="s">
        <v>382</v>
      </c>
      <c r="AI33" t="b">
        <v>0</v>
      </c>
      <c r="AJ33" t="s">
        <v>455</v>
      </c>
      <c r="AK33" t="s">
        <v>384</v>
      </c>
      <c r="AL33" t="s">
        <v>385</v>
      </c>
      <c r="AM33" t="s">
        <v>385</v>
      </c>
      <c r="AN33" t="s">
        <v>384</v>
      </c>
      <c r="AO33" t="s">
        <v>384</v>
      </c>
      <c r="AP33" t="s">
        <v>384</v>
      </c>
      <c r="AQ33" t="s">
        <v>384</v>
      </c>
      <c r="AR33" t="s">
        <v>384</v>
      </c>
      <c r="AS33" t="s">
        <v>384</v>
      </c>
      <c r="AT33" t="s">
        <v>384</v>
      </c>
      <c r="AU33" t="s">
        <v>384</v>
      </c>
      <c r="AV33" t="s">
        <v>384</v>
      </c>
      <c r="AW33" t="s">
        <v>384</v>
      </c>
      <c r="AX33" t="s">
        <v>385</v>
      </c>
      <c r="AY33" t="s">
        <v>384</v>
      </c>
      <c r="AZ33" t="s">
        <v>384</v>
      </c>
      <c r="BA33" t="s">
        <v>385</v>
      </c>
      <c r="BB33" t="s">
        <v>384</v>
      </c>
      <c r="BC33" t="s">
        <v>384</v>
      </c>
      <c r="BD33" t="s">
        <v>384</v>
      </c>
      <c r="BI33" t="s">
        <v>454</v>
      </c>
    </row>
    <row r="34" spans="1:61" x14ac:dyDescent="0.2">
      <c r="A34">
        <v>0</v>
      </c>
      <c r="B34">
        <v>1008</v>
      </c>
      <c r="D34" t="s">
        <v>348</v>
      </c>
      <c r="E34" t="s">
        <v>456</v>
      </c>
      <c r="F34" t="s">
        <v>457</v>
      </c>
      <c r="G34" t="s">
        <v>378</v>
      </c>
      <c r="J34" t="s">
        <v>87</v>
      </c>
      <c r="K34" s="21">
        <v>46073</v>
      </c>
      <c r="L34" s="21">
        <v>46073</v>
      </c>
      <c r="P34" t="s">
        <v>379</v>
      </c>
      <c r="Q34" t="s">
        <v>379</v>
      </c>
      <c r="S34" t="s">
        <v>380</v>
      </c>
      <c r="T34">
        <v>7153</v>
      </c>
      <c r="U34" t="s">
        <v>381</v>
      </c>
      <c r="AA34" t="s">
        <v>5</v>
      </c>
      <c r="AC34">
        <v>1008</v>
      </c>
      <c r="AD34">
        <v>46221</v>
      </c>
      <c r="AE34">
        <v>46161</v>
      </c>
      <c r="AF34">
        <v>102</v>
      </c>
      <c r="AG34">
        <v>102</v>
      </c>
      <c r="AH34" t="s">
        <v>382</v>
      </c>
      <c r="AI34" t="b">
        <v>0</v>
      </c>
      <c r="AJ34" t="s">
        <v>458</v>
      </c>
      <c r="AK34" t="s">
        <v>384</v>
      </c>
      <c r="AL34" t="s">
        <v>385</v>
      </c>
      <c r="AM34" t="s">
        <v>385</v>
      </c>
      <c r="AN34" t="s">
        <v>384</v>
      </c>
      <c r="AO34" t="s">
        <v>384</v>
      </c>
      <c r="AP34" t="s">
        <v>384</v>
      </c>
      <c r="AQ34" t="s">
        <v>384</v>
      </c>
      <c r="AR34" t="s">
        <v>384</v>
      </c>
      <c r="AS34" t="s">
        <v>384</v>
      </c>
      <c r="AT34" t="s">
        <v>384</v>
      </c>
      <c r="AU34" t="s">
        <v>384</v>
      </c>
      <c r="AV34" t="s">
        <v>384</v>
      </c>
      <c r="AW34" t="s">
        <v>384</v>
      </c>
      <c r="AX34" t="s">
        <v>385</v>
      </c>
      <c r="AY34" t="s">
        <v>384</v>
      </c>
      <c r="AZ34" t="s">
        <v>384</v>
      </c>
      <c r="BA34" t="s">
        <v>385</v>
      </c>
      <c r="BB34" t="s">
        <v>384</v>
      </c>
      <c r="BC34" t="s">
        <v>384</v>
      </c>
      <c r="BD34" t="s">
        <v>384</v>
      </c>
      <c r="BI34" t="s">
        <v>456</v>
      </c>
    </row>
    <row r="35" spans="1:61" x14ac:dyDescent="0.2">
      <c r="A35">
        <v>0</v>
      </c>
      <c r="B35">
        <v>1059</v>
      </c>
      <c r="D35" t="s">
        <v>348</v>
      </c>
      <c r="E35" t="s">
        <v>456</v>
      </c>
      <c r="F35" t="s">
        <v>457</v>
      </c>
      <c r="G35" t="s">
        <v>378</v>
      </c>
      <c r="J35" t="s">
        <v>87</v>
      </c>
      <c r="K35" s="21">
        <v>46073</v>
      </c>
      <c r="L35" s="21">
        <v>46073</v>
      </c>
      <c r="P35" t="s">
        <v>379</v>
      </c>
      <c r="Q35" t="s">
        <v>379</v>
      </c>
      <c r="S35" t="s">
        <v>380</v>
      </c>
      <c r="T35">
        <v>7477</v>
      </c>
      <c r="U35" t="s">
        <v>381</v>
      </c>
      <c r="AA35" t="s">
        <v>5</v>
      </c>
      <c r="AC35">
        <v>1059</v>
      </c>
      <c r="AD35">
        <v>46221</v>
      </c>
      <c r="AE35">
        <v>46161</v>
      </c>
      <c r="AF35">
        <v>102</v>
      </c>
      <c r="AG35">
        <v>102</v>
      </c>
      <c r="AH35" t="s">
        <v>382</v>
      </c>
      <c r="AI35" t="b">
        <v>0</v>
      </c>
      <c r="AJ35" t="s">
        <v>459</v>
      </c>
      <c r="AK35" t="s">
        <v>384</v>
      </c>
      <c r="AL35" t="s">
        <v>385</v>
      </c>
      <c r="AM35" t="s">
        <v>385</v>
      </c>
      <c r="AN35" t="s">
        <v>384</v>
      </c>
      <c r="AO35" t="s">
        <v>384</v>
      </c>
      <c r="AP35" t="s">
        <v>384</v>
      </c>
      <c r="AQ35" t="s">
        <v>384</v>
      </c>
      <c r="AR35" t="s">
        <v>384</v>
      </c>
      <c r="AS35" t="s">
        <v>384</v>
      </c>
      <c r="AT35" t="s">
        <v>384</v>
      </c>
      <c r="AU35" t="s">
        <v>384</v>
      </c>
      <c r="AV35" t="s">
        <v>384</v>
      </c>
      <c r="AW35" t="s">
        <v>384</v>
      </c>
      <c r="AX35" t="s">
        <v>385</v>
      </c>
      <c r="AY35" t="s">
        <v>384</v>
      </c>
      <c r="AZ35" t="s">
        <v>384</v>
      </c>
      <c r="BA35" t="s">
        <v>385</v>
      </c>
      <c r="BB35" t="s">
        <v>384</v>
      </c>
      <c r="BC35" t="s">
        <v>384</v>
      </c>
      <c r="BD35" t="s">
        <v>384</v>
      </c>
      <c r="BI35" t="s">
        <v>456</v>
      </c>
    </row>
    <row r="36" spans="1:61" x14ac:dyDescent="0.2">
      <c r="A36">
        <v>0</v>
      </c>
      <c r="B36">
        <v>881</v>
      </c>
      <c r="D36" t="s">
        <v>348</v>
      </c>
      <c r="E36" t="s">
        <v>460</v>
      </c>
      <c r="F36" t="s">
        <v>461</v>
      </c>
      <c r="G36" t="s">
        <v>378</v>
      </c>
      <c r="J36" t="s">
        <v>87</v>
      </c>
      <c r="K36" s="21">
        <v>46074</v>
      </c>
      <c r="L36" s="21">
        <v>46074</v>
      </c>
      <c r="P36" t="s">
        <v>379</v>
      </c>
      <c r="Q36" t="s">
        <v>379</v>
      </c>
      <c r="T36">
        <v>5668</v>
      </c>
      <c r="U36" t="s">
        <v>381</v>
      </c>
      <c r="AA36" t="s">
        <v>5</v>
      </c>
      <c r="AC36">
        <v>881</v>
      </c>
      <c r="AD36">
        <v>46221</v>
      </c>
      <c r="AE36">
        <v>46161</v>
      </c>
      <c r="AF36">
        <v>102</v>
      </c>
      <c r="AG36">
        <v>102</v>
      </c>
      <c r="AH36" t="s">
        <v>382</v>
      </c>
      <c r="AI36" t="b">
        <v>0</v>
      </c>
      <c r="AJ36" t="s">
        <v>462</v>
      </c>
      <c r="AK36" t="s">
        <v>384</v>
      </c>
      <c r="AL36" t="s">
        <v>385</v>
      </c>
      <c r="AM36" t="s">
        <v>385</v>
      </c>
      <c r="AN36" t="s">
        <v>384</v>
      </c>
      <c r="AO36" t="s">
        <v>384</v>
      </c>
      <c r="AP36" t="s">
        <v>384</v>
      </c>
      <c r="AQ36" t="s">
        <v>384</v>
      </c>
      <c r="AR36" t="s">
        <v>384</v>
      </c>
      <c r="AS36" t="s">
        <v>384</v>
      </c>
      <c r="AT36" t="s">
        <v>384</v>
      </c>
      <c r="AU36" t="s">
        <v>384</v>
      </c>
      <c r="AV36" t="s">
        <v>384</v>
      </c>
      <c r="AW36" t="s">
        <v>384</v>
      </c>
      <c r="AX36" t="s">
        <v>385</v>
      </c>
      <c r="AY36" t="s">
        <v>384</v>
      </c>
      <c r="AZ36" t="s">
        <v>384</v>
      </c>
      <c r="BA36" t="s">
        <v>385</v>
      </c>
      <c r="BB36" t="s">
        <v>384</v>
      </c>
      <c r="BC36" t="s">
        <v>384</v>
      </c>
      <c r="BD36" t="s">
        <v>384</v>
      </c>
      <c r="BI36" t="s">
        <v>460</v>
      </c>
    </row>
    <row r="37" spans="1:61" x14ac:dyDescent="0.2">
      <c r="A37">
        <v>0</v>
      </c>
      <c r="B37">
        <v>874</v>
      </c>
      <c r="D37" t="s">
        <v>348</v>
      </c>
      <c r="E37" t="s">
        <v>463</v>
      </c>
      <c r="F37" t="s">
        <v>416</v>
      </c>
      <c r="G37" t="s">
        <v>378</v>
      </c>
      <c r="J37" t="s">
        <v>87</v>
      </c>
      <c r="K37" s="21">
        <v>46075</v>
      </c>
      <c r="L37" s="21">
        <v>46075</v>
      </c>
      <c r="P37" t="s">
        <v>379</v>
      </c>
      <c r="Q37" t="s">
        <v>379</v>
      </c>
      <c r="T37">
        <v>5661</v>
      </c>
      <c r="U37" t="s">
        <v>381</v>
      </c>
      <c r="AA37" t="s">
        <v>5</v>
      </c>
      <c r="AC37">
        <v>874</v>
      </c>
      <c r="AD37">
        <v>46221</v>
      </c>
      <c r="AE37">
        <v>46161</v>
      </c>
      <c r="AF37">
        <v>102</v>
      </c>
      <c r="AG37">
        <v>102</v>
      </c>
      <c r="AH37" t="s">
        <v>382</v>
      </c>
      <c r="AI37" t="b">
        <v>0</v>
      </c>
      <c r="AJ37" t="s">
        <v>464</v>
      </c>
      <c r="AK37" t="s">
        <v>384</v>
      </c>
      <c r="AL37" t="s">
        <v>385</v>
      </c>
      <c r="AM37" t="s">
        <v>385</v>
      </c>
      <c r="AN37" t="s">
        <v>384</v>
      </c>
      <c r="AO37" t="s">
        <v>384</v>
      </c>
      <c r="AP37" t="s">
        <v>384</v>
      </c>
      <c r="AQ37" t="s">
        <v>384</v>
      </c>
      <c r="AR37" t="s">
        <v>384</v>
      </c>
      <c r="AS37" t="s">
        <v>384</v>
      </c>
      <c r="AT37" t="s">
        <v>384</v>
      </c>
      <c r="AU37" t="s">
        <v>384</v>
      </c>
      <c r="AV37" t="s">
        <v>384</v>
      </c>
      <c r="AW37" t="s">
        <v>384</v>
      </c>
      <c r="AX37" t="s">
        <v>385</v>
      </c>
      <c r="AY37" t="s">
        <v>384</v>
      </c>
      <c r="AZ37" t="s">
        <v>384</v>
      </c>
      <c r="BA37" t="s">
        <v>385</v>
      </c>
      <c r="BB37" t="s">
        <v>384</v>
      </c>
      <c r="BC37" t="s">
        <v>384</v>
      </c>
      <c r="BD37" t="s">
        <v>384</v>
      </c>
      <c r="BI37" t="s">
        <v>463</v>
      </c>
    </row>
    <row r="38" spans="1:61" x14ac:dyDescent="0.2">
      <c r="A38">
        <v>0</v>
      </c>
      <c r="B38">
        <v>1010</v>
      </c>
      <c r="D38" t="s">
        <v>348</v>
      </c>
      <c r="E38" t="s">
        <v>465</v>
      </c>
      <c r="F38" t="s">
        <v>466</v>
      </c>
      <c r="G38" t="s">
        <v>378</v>
      </c>
      <c r="J38" t="s">
        <v>87</v>
      </c>
      <c r="K38" s="21">
        <v>46076</v>
      </c>
      <c r="L38" s="21">
        <v>46076</v>
      </c>
      <c r="P38" t="s">
        <v>379</v>
      </c>
      <c r="Q38" t="s">
        <v>379</v>
      </c>
      <c r="S38" t="s">
        <v>380</v>
      </c>
      <c r="T38">
        <v>7155</v>
      </c>
      <c r="U38" t="s">
        <v>381</v>
      </c>
      <c r="AA38" t="s">
        <v>5</v>
      </c>
      <c r="AC38">
        <v>1010</v>
      </c>
      <c r="AD38">
        <v>46221</v>
      </c>
      <c r="AE38">
        <v>46161</v>
      </c>
      <c r="AF38">
        <v>102</v>
      </c>
      <c r="AG38">
        <v>102</v>
      </c>
      <c r="AH38" t="s">
        <v>382</v>
      </c>
      <c r="AI38" t="b">
        <v>0</v>
      </c>
      <c r="AJ38" t="s">
        <v>467</v>
      </c>
      <c r="AK38" t="s">
        <v>384</v>
      </c>
      <c r="AL38" t="s">
        <v>385</v>
      </c>
      <c r="AM38" t="s">
        <v>385</v>
      </c>
      <c r="AN38" t="s">
        <v>384</v>
      </c>
      <c r="AO38" t="s">
        <v>384</v>
      </c>
      <c r="AP38" t="s">
        <v>384</v>
      </c>
      <c r="AQ38" t="s">
        <v>384</v>
      </c>
      <c r="AR38" t="s">
        <v>384</v>
      </c>
      <c r="AS38" t="s">
        <v>384</v>
      </c>
      <c r="AT38" t="s">
        <v>384</v>
      </c>
      <c r="AU38" t="s">
        <v>384</v>
      </c>
      <c r="AV38" t="s">
        <v>384</v>
      </c>
      <c r="AW38" t="s">
        <v>384</v>
      </c>
      <c r="AX38" t="s">
        <v>385</v>
      </c>
      <c r="AY38" t="s">
        <v>384</v>
      </c>
      <c r="AZ38" t="s">
        <v>384</v>
      </c>
      <c r="BA38" t="s">
        <v>385</v>
      </c>
      <c r="BB38" t="s">
        <v>384</v>
      </c>
      <c r="BC38" t="s">
        <v>384</v>
      </c>
      <c r="BD38" t="s">
        <v>384</v>
      </c>
      <c r="BI38" t="s">
        <v>465</v>
      </c>
    </row>
    <row r="39" spans="1:61" x14ac:dyDescent="0.2">
      <c r="A39">
        <v>0</v>
      </c>
      <c r="B39">
        <v>939</v>
      </c>
      <c r="D39" t="s">
        <v>348</v>
      </c>
      <c r="E39" t="s">
        <v>418</v>
      </c>
      <c r="F39" t="s">
        <v>419</v>
      </c>
      <c r="G39" t="s">
        <v>378</v>
      </c>
      <c r="J39" t="s">
        <v>87</v>
      </c>
      <c r="K39" s="21">
        <v>46076</v>
      </c>
      <c r="L39" s="21">
        <v>46076</v>
      </c>
      <c r="P39" t="s">
        <v>379</v>
      </c>
      <c r="Q39" t="s">
        <v>379</v>
      </c>
      <c r="T39">
        <v>5729</v>
      </c>
      <c r="U39" t="s">
        <v>381</v>
      </c>
      <c r="AA39" t="s">
        <v>5</v>
      </c>
      <c r="AC39">
        <v>939</v>
      </c>
      <c r="AD39">
        <v>46221</v>
      </c>
      <c r="AE39">
        <v>46161</v>
      </c>
      <c r="AF39">
        <v>102</v>
      </c>
      <c r="AG39">
        <v>102</v>
      </c>
      <c r="AH39" t="s">
        <v>382</v>
      </c>
      <c r="AI39" t="b">
        <v>0</v>
      </c>
      <c r="AJ39" t="s">
        <v>468</v>
      </c>
      <c r="AK39" t="s">
        <v>384</v>
      </c>
      <c r="AL39" t="s">
        <v>385</v>
      </c>
      <c r="AM39" t="s">
        <v>385</v>
      </c>
      <c r="AN39" t="s">
        <v>384</v>
      </c>
      <c r="AO39" t="s">
        <v>384</v>
      </c>
      <c r="AP39" t="s">
        <v>384</v>
      </c>
      <c r="AQ39" t="s">
        <v>384</v>
      </c>
      <c r="AR39" t="s">
        <v>384</v>
      </c>
      <c r="AS39" t="s">
        <v>384</v>
      </c>
      <c r="AT39" t="s">
        <v>384</v>
      </c>
      <c r="AU39" t="s">
        <v>384</v>
      </c>
      <c r="AV39" t="s">
        <v>384</v>
      </c>
      <c r="AW39" t="s">
        <v>384</v>
      </c>
      <c r="AX39" t="s">
        <v>385</v>
      </c>
      <c r="AY39" t="s">
        <v>384</v>
      </c>
      <c r="AZ39" t="s">
        <v>384</v>
      </c>
      <c r="BA39" t="s">
        <v>385</v>
      </c>
      <c r="BB39" t="s">
        <v>384</v>
      </c>
      <c r="BC39" t="s">
        <v>384</v>
      </c>
      <c r="BD39" t="s">
        <v>384</v>
      </c>
      <c r="BI39" t="s">
        <v>418</v>
      </c>
    </row>
    <row r="40" spans="1:61" x14ac:dyDescent="0.2">
      <c r="A40">
        <v>0</v>
      </c>
      <c r="B40">
        <v>1061</v>
      </c>
      <c r="D40" t="s">
        <v>348</v>
      </c>
      <c r="E40" t="s">
        <v>465</v>
      </c>
      <c r="F40" t="s">
        <v>466</v>
      </c>
      <c r="G40" t="s">
        <v>378</v>
      </c>
      <c r="J40" t="s">
        <v>87</v>
      </c>
      <c r="K40" s="21">
        <v>46076</v>
      </c>
      <c r="L40" s="21">
        <v>46076</v>
      </c>
      <c r="P40" t="s">
        <v>379</v>
      </c>
      <c r="Q40" t="s">
        <v>379</v>
      </c>
      <c r="S40" t="s">
        <v>469</v>
      </c>
      <c r="T40">
        <v>7479</v>
      </c>
      <c r="U40" t="s">
        <v>381</v>
      </c>
      <c r="AA40" t="s">
        <v>5</v>
      </c>
      <c r="AC40">
        <v>1061</v>
      </c>
      <c r="AD40">
        <v>46221</v>
      </c>
      <c r="AE40">
        <v>46161</v>
      </c>
      <c r="AF40">
        <v>102</v>
      </c>
      <c r="AG40">
        <v>102</v>
      </c>
      <c r="AH40" t="s">
        <v>382</v>
      </c>
      <c r="AI40" t="b">
        <v>0</v>
      </c>
      <c r="AJ40" t="s">
        <v>470</v>
      </c>
      <c r="AK40" t="s">
        <v>384</v>
      </c>
      <c r="AL40" t="s">
        <v>385</v>
      </c>
      <c r="AM40" t="s">
        <v>385</v>
      </c>
      <c r="AN40" t="s">
        <v>384</v>
      </c>
      <c r="AO40" t="s">
        <v>384</v>
      </c>
      <c r="AP40" t="s">
        <v>384</v>
      </c>
      <c r="AQ40" t="s">
        <v>384</v>
      </c>
      <c r="AR40" t="s">
        <v>384</v>
      </c>
      <c r="AS40" t="s">
        <v>384</v>
      </c>
      <c r="AT40" t="s">
        <v>384</v>
      </c>
      <c r="AU40" t="s">
        <v>384</v>
      </c>
      <c r="AV40" t="s">
        <v>384</v>
      </c>
      <c r="AW40" t="s">
        <v>384</v>
      </c>
      <c r="AX40" t="s">
        <v>385</v>
      </c>
      <c r="AY40" t="s">
        <v>384</v>
      </c>
      <c r="AZ40" t="s">
        <v>384</v>
      </c>
      <c r="BA40" t="s">
        <v>385</v>
      </c>
      <c r="BB40" t="s">
        <v>384</v>
      </c>
      <c r="BC40" t="s">
        <v>384</v>
      </c>
      <c r="BD40" t="s">
        <v>384</v>
      </c>
      <c r="BI40" t="s">
        <v>465</v>
      </c>
    </row>
    <row r="41" spans="1:61" x14ac:dyDescent="0.2">
      <c r="A41">
        <v>0</v>
      </c>
      <c r="B41">
        <v>1141</v>
      </c>
      <c r="D41" t="s">
        <v>348</v>
      </c>
      <c r="E41" t="s">
        <v>465</v>
      </c>
      <c r="F41" t="s">
        <v>466</v>
      </c>
      <c r="G41" t="s">
        <v>378</v>
      </c>
      <c r="J41" t="s">
        <v>87</v>
      </c>
      <c r="K41" s="21">
        <v>46076</v>
      </c>
      <c r="L41" s="21">
        <v>46076</v>
      </c>
      <c r="P41" t="s">
        <v>379</v>
      </c>
      <c r="Q41" t="s">
        <v>379</v>
      </c>
      <c r="S41" t="s">
        <v>380</v>
      </c>
      <c r="T41">
        <v>7715</v>
      </c>
      <c r="U41" t="s">
        <v>381</v>
      </c>
      <c r="AA41" t="s">
        <v>5</v>
      </c>
      <c r="AC41">
        <v>1141</v>
      </c>
      <c r="AD41">
        <v>46221</v>
      </c>
      <c r="AE41">
        <v>46161</v>
      </c>
      <c r="AF41">
        <v>102</v>
      </c>
      <c r="AG41">
        <v>102</v>
      </c>
      <c r="AH41" t="s">
        <v>382</v>
      </c>
      <c r="AI41" t="b">
        <v>0</v>
      </c>
      <c r="AJ41" t="s">
        <v>471</v>
      </c>
      <c r="AK41" t="s">
        <v>384</v>
      </c>
      <c r="AL41" t="s">
        <v>385</v>
      </c>
      <c r="AM41" t="s">
        <v>385</v>
      </c>
      <c r="AN41" t="s">
        <v>384</v>
      </c>
      <c r="AO41" t="s">
        <v>384</v>
      </c>
      <c r="AP41" t="s">
        <v>384</v>
      </c>
      <c r="AQ41" t="s">
        <v>384</v>
      </c>
      <c r="AR41" t="s">
        <v>384</v>
      </c>
      <c r="AS41" t="s">
        <v>384</v>
      </c>
      <c r="AT41" t="s">
        <v>384</v>
      </c>
      <c r="AU41" t="s">
        <v>384</v>
      </c>
      <c r="AV41" t="s">
        <v>384</v>
      </c>
      <c r="AW41" t="s">
        <v>384</v>
      </c>
      <c r="AX41" t="s">
        <v>385</v>
      </c>
      <c r="AY41" t="s">
        <v>384</v>
      </c>
      <c r="AZ41" t="s">
        <v>384</v>
      </c>
      <c r="BA41" t="s">
        <v>385</v>
      </c>
      <c r="BB41" t="s">
        <v>384</v>
      </c>
      <c r="BC41" t="s">
        <v>384</v>
      </c>
      <c r="BD41" t="s">
        <v>384</v>
      </c>
      <c r="BI41" t="s">
        <v>465</v>
      </c>
    </row>
    <row r="42" spans="1:61" x14ac:dyDescent="0.2">
      <c r="A42">
        <v>0</v>
      </c>
      <c r="B42">
        <v>894</v>
      </c>
      <c r="D42" t="s">
        <v>348</v>
      </c>
      <c r="E42" t="s">
        <v>472</v>
      </c>
      <c r="F42" t="s">
        <v>416</v>
      </c>
      <c r="G42" t="s">
        <v>378</v>
      </c>
      <c r="J42" t="s">
        <v>87</v>
      </c>
      <c r="K42" s="21">
        <v>46079</v>
      </c>
      <c r="L42" s="21">
        <v>46081</v>
      </c>
      <c r="P42" t="s">
        <v>379</v>
      </c>
      <c r="Q42" t="s">
        <v>379</v>
      </c>
      <c r="S42" t="s">
        <v>407</v>
      </c>
      <c r="T42">
        <v>5683</v>
      </c>
      <c r="U42" t="s">
        <v>381</v>
      </c>
      <c r="AA42" t="s">
        <v>5</v>
      </c>
      <c r="AC42">
        <v>894</v>
      </c>
      <c r="AD42">
        <v>46221</v>
      </c>
      <c r="AE42">
        <v>46161</v>
      </c>
      <c r="AF42">
        <v>102</v>
      </c>
      <c r="AG42">
        <v>102</v>
      </c>
      <c r="AH42" t="s">
        <v>382</v>
      </c>
      <c r="AI42" t="b">
        <v>0</v>
      </c>
      <c r="AJ42" t="s">
        <v>473</v>
      </c>
      <c r="AK42" t="s">
        <v>384</v>
      </c>
      <c r="AL42" t="s">
        <v>385</v>
      </c>
      <c r="AM42" t="s">
        <v>385</v>
      </c>
      <c r="AN42" t="s">
        <v>384</v>
      </c>
      <c r="AO42" t="s">
        <v>384</v>
      </c>
      <c r="AP42" t="s">
        <v>384</v>
      </c>
      <c r="AQ42" t="s">
        <v>384</v>
      </c>
      <c r="AR42" t="s">
        <v>384</v>
      </c>
      <c r="AS42" t="s">
        <v>384</v>
      </c>
      <c r="AT42" t="s">
        <v>384</v>
      </c>
      <c r="AU42" t="s">
        <v>384</v>
      </c>
      <c r="AV42" t="s">
        <v>384</v>
      </c>
      <c r="AW42" t="s">
        <v>384</v>
      </c>
      <c r="AX42" t="s">
        <v>385</v>
      </c>
      <c r="AY42" t="s">
        <v>384</v>
      </c>
      <c r="AZ42" t="s">
        <v>384</v>
      </c>
      <c r="BA42" t="s">
        <v>385</v>
      </c>
      <c r="BB42" t="s">
        <v>384</v>
      </c>
      <c r="BC42" t="s">
        <v>384</v>
      </c>
      <c r="BD42" t="s">
        <v>384</v>
      </c>
      <c r="BI42" t="s">
        <v>472</v>
      </c>
    </row>
    <row r="43" spans="1:61" x14ac:dyDescent="0.2">
      <c r="A43">
        <v>0</v>
      </c>
      <c r="B43">
        <v>1062</v>
      </c>
      <c r="D43" t="s">
        <v>348</v>
      </c>
      <c r="E43" t="s">
        <v>474</v>
      </c>
      <c r="F43" t="s">
        <v>475</v>
      </c>
      <c r="G43" t="s">
        <v>378</v>
      </c>
      <c r="J43" t="s">
        <v>87</v>
      </c>
      <c r="K43" s="21">
        <v>46080</v>
      </c>
      <c r="L43" s="21">
        <v>46080</v>
      </c>
      <c r="P43" t="s">
        <v>379</v>
      </c>
      <c r="Q43" t="s">
        <v>379</v>
      </c>
      <c r="S43" t="s">
        <v>380</v>
      </c>
      <c r="T43">
        <v>7482</v>
      </c>
      <c r="U43" t="s">
        <v>381</v>
      </c>
      <c r="AA43" t="s">
        <v>5</v>
      </c>
      <c r="AC43">
        <v>1062</v>
      </c>
      <c r="AD43">
        <v>46221</v>
      </c>
      <c r="AE43">
        <v>46161</v>
      </c>
      <c r="AF43">
        <v>102</v>
      </c>
      <c r="AG43">
        <v>102</v>
      </c>
      <c r="AH43" t="s">
        <v>382</v>
      </c>
      <c r="AI43" t="b">
        <v>0</v>
      </c>
      <c r="AJ43" t="s">
        <v>476</v>
      </c>
      <c r="AK43" t="s">
        <v>384</v>
      </c>
      <c r="AL43" t="s">
        <v>385</v>
      </c>
      <c r="AM43" t="s">
        <v>385</v>
      </c>
      <c r="AN43" t="s">
        <v>384</v>
      </c>
      <c r="AO43" t="s">
        <v>384</v>
      </c>
      <c r="AP43" t="s">
        <v>384</v>
      </c>
      <c r="AQ43" t="s">
        <v>384</v>
      </c>
      <c r="AR43" t="s">
        <v>384</v>
      </c>
      <c r="AS43" t="s">
        <v>384</v>
      </c>
      <c r="AT43" t="s">
        <v>384</v>
      </c>
      <c r="AU43" t="s">
        <v>384</v>
      </c>
      <c r="AV43" t="s">
        <v>384</v>
      </c>
      <c r="AW43" t="s">
        <v>384</v>
      </c>
      <c r="AX43" t="s">
        <v>385</v>
      </c>
      <c r="AY43" t="s">
        <v>384</v>
      </c>
      <c r="AZ43" t="s">
        <v>384</v>
      </c>
      <c r="BA43" t="s">
        <v>385</v>
      </c>
      <c r="BB43" t="s">
        <v>384</v>
      </c>
      <c r="BC43" t="s">
        <v>384</v>
      </c>
      <c r="BD43" t="s">
        <v>384</v>
      </c>
      <c r="BI43" t="s">
        <v>474</v>
      </c>
    </row>
    <row r="44" spans="1:61" x14ac:dyDescent="0.2">
      <c r="A44">
        <v>0</v>
      </c>
      <c r="B44">
        <v>1013</v>
      </c>
      <c r="D44" t="s">
        <v>348</v>
      </c>
      <c r="E44" t="s">
        <v>474</v>
      </c>
      <c r="F44" t="s">
        <v>475</v>
      </c>
      <c r="G44" t="s">
        <v>378</v>
      </c>
      <c r="J44" t="s">
        <v>87</v>
      </c>
      <c r="K44" s="21">
        <v>46080</v>
      </c>
      <c r="L44" s="21">
        <v>46080</v>
      </c>
      <c r="P44" t="s">
        <v>379</v>
      </c>
      <c r="Q44" t="s">
        <v>379</v>
      </c>
      <c r="T44">
        <v>7158</v>
      </c>
      <c r="U44" t="s">
        <v>381</v>
      </c>
      <c r="AA44" t="s">
        <v>5</v>
      </c>
      <c r="AC44">
        <v>1013</v>
      </c>
      <c r="AD44">
        <v>46221</v>
      </c>
      <c r="AE44">
        <v>46161</v>
      </c>
      <c r="AF44">
        <v>102</v>
      </c>
      <c r="AG44">
        <v>102</v>
      </c>
      <c r="AH44" t="s">
        <v>382</v>
      </c>
      <c r="AI44" t="b">
        <v>0</v>
      </c>
      <c r="AJ44" t="s">
        <v>477</v>
      </c>
      <c r="AK44" t="s">
        <v>384</v>
      </c>
      <c r="AL44" t="s">
        <v>385</v>
      </c>
      <c r="AM44" t="s">
        <v>385</v>
      </c>
      <c r="AN44" t="s">
        <v>384</v>
      </c>
      <c r="AO44" t="s">
        <v>384</v>
      </c>
      <c r="AP44" t="s">
        <v>384</v>
      </c>
      <c r="AQ44" t="s">
        <v>384</v>
      </c>
      <c r="AR44" t="s">
        <v>384</v>
      </c>
      <c r="AS44" t="s">
        <v>384</v>
      </c>
      <c r="AT44" t="s">
        <v>384</v>
      </c>
      <c r="AU44" t="s">
        <v>384</v>
      </c>
      <c r="AV44" t="s">
        <v>384</v>
      </c>
      <c r="AW44" t="s">
        <v>384</v>
      </c>
      <c r="AX44" t="s">
        <v>385</v>
      </c>
      <c r="AY44" t="s">
        <v>384</v>
      </c>
      <c r="AZ44" t="s">
        <v>384</v>
      </c>
      <c r="BA44" t="s">
        <v>385</v>
      </c>
      <c r="BB44" t="s">
        <v>384</v>
      </c>
      <c r="BC44" t="s">
        <v>384</v>
      </c>
      <c r="BD44" t="s">
        <v>384</v>
      </c>
      <c r="BI44" t="s">
        <v>474</v>
      </c>
    </row>
    <row r="45" spans="1:61" x14ac:dyDescent="0.2">
      <c r="A45">
        <v>0</v>
      </c>
      <c r="B45">
        <v>1012</v>
      </c>
      <c r="D45" t="s">
        <v>348</v>
      </c>
      <c r="E45" t="s">
        <v>395</v>
      </c>
      <c r="F45" t="s">
        <v>396</v>
      </c>
      <c r="G45" t="s">
        <v>378</v>
      </c>
      <c r="J45" t="s">
        <v>87</v>
      </c>
      <c r="K45" s="21">
        <v>46080</v>
      </c>
      <c r="L45" s="21">
        <v>46080</v>
      </c>
      <c r="P45" t="s">
        <v>379</v>
      </c>
      <c r="Q45" t="s">
        <v>379</v>
      </c>
      <c r="S45" t="s">
        <v>380</v>
      </c>
      <c r="T45">
        <v>7157</v>
      </c>
      <c r="U45" t="s">
        <v>381</v>
      </c>
      <c r="AA45" t="s">
        <v>5</v>
      </c>
      <c r="AC45">
        <v>1012</v>
      </c>
      <c r="AD45">
        <v>46221</v>
      </c>
      <c r="AE45">
        <v>46161</v>
      </c>
      <c r="AF45">
        <v>102</v>
      </c>
      <c r="AG45">
        <v>102</v>
      </c>
      <c r="AH45" t="s">
        <v>382</v>
      </c>
      <c r="AI45" t="b">
        <v>0</v>
      </c>
      <c r="AJ45" t="s">
        <v>478</v>
      </c>
      <c r="AK45" t="s">
        <v>384</v>
      </c>
      <c r="AL45" t="s">
        <v>385</v>
      </c>
      <c r="AM45" t="s">
        <v>385</v>
      </c>
      <c r="AN45" t="s">
        <v>384</v>
      </c>
      <c r="AO45" t="s">
        <v>384</v>
      </c>
      <c r="AP45" t="s">
        <v>384</v>
      </c>
      <c r="AQ45" t="s">
        <v>384</v>
      </c>
      <c r="AR45" t="s">
        <v>384</v>
      </c>
      <c r="AS45" t="s">
        <v>384</v>
      </c>
      <c r="AT45" t="s">
        <v>384</v>
      </c>
      <c r="AU45" t="s">
        <v>384</v>
      </c>
      <c r="AV45" t="s">
        <v>384</v>
      </c>
      <c r="AW45" t="s">
        <v>384</v>
      </c>
      <c r="AX45" t="s">
        <v>385</v>
      </c>
      <c r="AY45" t="s">
        <v>384</v>
      </c>
      <c r="AZ45" t="s">
        <v>384</v>
      </c>
      <c r="BA45" t="s">
        <v>385</v>
      </c>
      <c r="BB45" t="s">
        <v>384</v>
      </c>
      <c r="BC45" t="s">
        <v>384</v>
      </c>
      <c r="BD45" t="s">
        <v>384</v>
      </c>
      <c r="BI45" t="s">
        <v>395</v>
      </c>
    </row>
    <row r="46" spans="1:61" x14ac:dyDescent="0.2">
      <c r="A46">
        <v>0</v>
      </c>
      <c r="B46">
        <v>1014</v>
      </c>
      <c r="D46" t="s">
        <v>348</v>
      </c>
      <c r="E46" t="s">
        <v>474</v>
      </c>
      <c r="F46" t="s">
        <v>479</v>
      </c>
      <c r="G46" t="s">
        <v>378</v>
      </c>
      <c r="J46" t="s">
        <v>87</v>
      </c>
      <c r="K46" s="21">
        <v>46080</v>
      </c>
      <c r="L46" s="21">
        <v>46080</v>
      </c>
      <c r="P46" t="s">
        <v>379</v>
      </c>
      <c r="Q46" t="s">
        <v>379</v>
      </c>
      <c r="S46" t="s">
        <v>380</v>
      </c>
      <c r="T46">
        <v>7159</v>
      </c>
      <c r="U46" t="s">
        <v>381</v>
      </c>
      <c r="AA46" t="s">
        <v>5</v>
      </c>
      <c r="AC46">
        <v>1014</v>
      </c>
      <c r="AD46">
        <v>46221</v>
      </c>
      <c r="AE46">
        <v>46161</v>
      </c>
      <c r="AF46">
        <v>102</v>
      </c>
      <c r="AG46">
        <v>102</v>
      </c>
      <c r="AH46" t="s">
        <v>382</v>
      </c>
      <c r="AI46" t="b">
        <v>0</v>
      </c>
      <c r="AJ46" t="s">
        <v>480</v>
      </c>
      <c r="AK46" t="s">
        <v>384</v>
      </c>
      <c r="AL46" t="s">
        <v>385</v>
      </c>
      <c r="AM46" t="s">
        <v>385</v>
      </c>
      <c r="AN46" t="s">
        <v>384</v>
      </c>
      <c r="AO46" t="s">
        <v>384</v>
      </c>
      <c r="AP46" t="s">
        <v>384</v>
      </c>
      <c r="AQ46" t="s">
        <v>384</v>
      </c>
      <c r="AR46" t="s">
        <v>384</v>
      </c>
      <c r="AS46" t="s">
        <v>384</v>
      </c>
      <c r="AT46" t="s">
        <v>384</v>
      </c>
      <c r="AU46" t="s">
        <v>384</v>
      </c>
      <c r="AV46" t="s">
        <v>384</v>
      </c>
      <c r="AW46" t="s">
        <v>384</v>
      </c>
      <c r="AX46" t="s">
        <v>385</v>
      </c>
      <c r="AY46" t="s">
        <v>384</v>
      </c>
      <c r="AZ46" t="s">
        <v>384</v>
      </c>
      <c r="BA46" t="s">
        <v>385</v>
      </c>
      <c r="BB46" t="s">
        <v>384</v>
      </c>
      <c r="BC46" t="s">
        <v>384</v>
      </c>
      <c r="BD46" t="s">
        <v>384</v>
      </c>
      <c r="BI46" t="s">
        <v>474</v>
      </c>
    </row>
    <row r="47" spans="1:61" x14ac:dyDescent="0.2">
      <c r="A47">
        <v>0</v>
      </c>
      <c r="B47">
        <v>1063</v>
      </c>
      <c r="D47" t="s">
        <v>348</v>
      </c>
      <c r="E47" t="s">
        <v>474</v>
      </c>
      <c r="F47" t="s">
        <v>479</v>
      </c>
      <c r="G47" t="s">
        <v>378</v>
      </c>
      <c r="J47" t="s">
        <v>87</v>
      </c>
      <c r="K47" s="21">
        <v>46080</v>
      </c>
      <c r="L47" s="21">
        <v>46080</v>
      </c>
      <c r="P47" t="s">
        <v>379</v>
      </c>
      <c r="Q47" t="s">
        <v>379</v>
      </c>
      <c r="S47" t="s">
        <v>380</v>
      </c>
      <c r="T47">
        <v>7483</v>
      </c>
      <c r="U47" t="s">
        <v>381</v>
      </c>
      <c r="AA47" t="s">
        <v>5</v>
      </c>
      <c r="AC47">
        <v>1063</v>
      </c>
      <c r="AD47">
        <v>46221</v>
      </c>
      <c r="AE47">
        <v>46161</v>
      </c>
      <c r="AF47">
        <v>102</v>
      </c>
      <c r="AG47">
        <v>102</v>
      </c>
      <c r="AH47" t="s">
        <v>382</v>
      </c>
      <c r="AI47" t="b">
        <v>0</v>
      </c>
      <c r="AJ47" t="s">
        <v>481</v>
      </c>
      <c r="AK47" t="s">
        <v>384</v>
      </c>
      <c r="AL47" t="s">
        <v>385</v>
      </c>
      <c r="AM47" t="s">
        <v>385</v>
      </c>
      <c r="AN47" t="s">
        <v>384</v>
      </c>
      <c r="AO47" t="s">
        <v>384</v>
      </c>
      <c r="AP47" t="s">
        <v>384</v>
      </c>
      <c r="AQ47" t="s">
        <v>384</v>
      </c>
      <c r="AR47" t="s">
        <v>384</v>
      </c>
      <c r="AS47" t="s">
        <v>384</v>
      </c>
      <c r="AT47" t="s">
        <v>384</v>
      </c>
      <c r="AU47" t="s">
        <v>384</v>
      </c>
      <c r="AV47" t="s">
        <v>384</v>
      </c>
      <c r="AW47" t="s">
        <v>384</v>
      </c>
      <c r="AX47" t="s">
        <v>385</v>
      </c>
      <c r="AY47" t="s">
        <v>384</v>
      </c>
      <c r="AZ47" t="s">
        <v>384</v>
      </c>
      <c r="BA47" t="s">
        <v>385</v>
      </c>
      <c r="BB47" t="s">
        <v>384</v>
      </c>
      <c r="BC47" t="s">
        <v>384</v>
      </c>
      <c r="BD47" t="s">
        <v>384</v>
      </c>
      <c r="BI47" t="s">
        <v>474</v>
      </c>
    </row>
    <row r="48" spans="1:61" x14ac:dyDescent="0.2">
      <c r="A48">
        <v>0</v>
      </c>
      <c r="B48">
        <v>1011</v>
      </c>
      <c r="D48" t="s">
        <v>348</v>
      </c>
      <c r="E48" t="s">
        <v>482</v>
      </c>
      <c r="F48" t="s">
        <v>483</v>
      </c>
      <c r="G48" t="s">
        <v>378</v>
      </c>
      <c r="J48" t="s">
        <v>87</v>
      </c>
      <c r="K48" s="21">
        <v>46080</v>
      </c>
      <c r="L48" s="21">
        <v>46081</v>
      </c>
      <c r="P48" t="s">
        <v>379</v>
      </c>
      <c r="Q48" t="s">
        <v>379</v>
      </c>
      <c r="S48" t="s">
        <v>380</v>
      </c>
      <c r="T48">
        <v>7156</v>
      </c>
      <c r="U48" t="s">
        <v>381</v>
      </c>
      <c r="AA48" t="s">
        <v>5</v>
      </c>
      <c r="AC48">
        <v>1011</v>
      </c>
      <c r="AD48">
        <v>46221</v>
      </c>
      <c r="AE48">
        <v>46161</v>
      </c>
      <c r="AF48">
        <v>102</v>
      </c>
      <c r="AG48">
        <v>102</v>
      </c>
      <c r="AH48" t="s">
        <v>382</v>
      </c>
      <c r="AI48" t="b">
        <v>0</v>
      </c>
      <c r="AJ48" t="s">
        <v>484</v>
      </c>
      <c r="AK48" t="s">
        <v>384</v>
      </c>
      <c r="AL48" t="s">
        <v>385</v>
      </c>
      <c r="AM48" t="s">
        <v>385</v>
      </c>
      <c r="AN48" t="s">
        <v>384</v>
      </c>
      <c r="AO48" t="s">
        <v>384</v>
      </c>
      <c r="AP48" t="s">
        <v>384</v>
      </c>
      <c r="AQ48" t="s">
        <v>384</v>
      </c>
      <c r="AR48" t="s">
        <v>384</v>
      </c>
      <c r="AS48" t="s">
        <v>384</v>
      </c>
      <c r="AT48" t="s">
        <v>384</v>
      </c>
      <c r="AU48" t="s">
        <v>384</v>
      </c>
      <c r="AV48" t="s">
        <v>384</v>
      </c>
      <c r="AW48" t="s">
        <v>384</v>
      </c>
      <c r="AX48" t="s">
        <v>385</v>
      </c>
      <c r="AY48" t="s">
        <v>384</v>
      </c>
      <c r="AZ48" t="s">
        <v>384</v>
      </c>
      <c r="BA48" t="s">
        <v>385</v>
      </c>
      <c r="BB48" t="s">
        <v>384</v>
      </c>
      <c r="BC48" t="s">
        <v>384</v>
      </c>
      <c r="BD48" t="s">
        <v>384</v>
      </c>
      <c r="BI48" t="s">
        <v>482</v>
      </c>
    </row>
    <row r="49" spans="1:61" x14ac:dyDescent="0.2">
      <c r="A49">
        <v>0</v>
      </c>
      <c r="B49">
        <v>1073</v>
      </c>
      <c r="D49" t="s">
        <v>348</v>
      </c>
      <c r="E49" t="s">
        <v>398</v>
      </c>
      <c r="F49" t="s">
        <v>399</v>
      </c>
      <c r="G49" t="s">
        <v>378</v>
      </c>
      <c r="J49" t="s">
        <v>87</v>
      </c>
      <c r="K49" s="21">
        <v>46081</v>
      </c>
      <c r="L49" s="21">
        <v>46081</v>
      </c>
      <c r="P49" t="s">
        <v>379</v>
      </c>
      <c r="Q49" t="s">
        <v>379</v>
      </c>
      <c r="S49" t="s">
        <v>380</v>
      </c>
      <c r="T49">
        <v>7545</v>
      </c>
      <c r="U49" t="s">
        <v>381</v>
      </c>
      <c r="AA49" t="s">
        <v>5</v>
      </c>
      <c r="AC49">
        <v>1073</v>
      </c>
      <c r="AD49">
        <v>46221</v>
      </c>
      <c r="AE49">
        <v>46161</v>
      </c>
      <c r="AF49">
        <v>102</v>
      </c>
      <c r="AG49">
        <v>102</v>
      </c>
      <c r="AH49" t="s">
        <v>382</v>
      </c>
      <c r="AI49" t="b">
        <v>0</v>
      </c>
      <c r="AJ49" t="s">
        <v>485</v>
      </c>
      <c r="AK49" t="s">
        <v>384</v>
      </c>
      <c r="AL49" t="s">
        <v>385</v>
      </c>
      <c r="AM49" t="s">
        <v>385</v>
      </c>
      <c r="AN49" t="s">
        <v>384</v>
      </c>
      <c r="AO49" t="s">
        <v>384</v>
      </c>
      <c r="AP49" t="s">
        <v>384</v>
      </c>
      <c r="AQ49" t="s">
        <v>384</v>
      </c>
      <c r="AR49" t="s">
        <v>384</v>
      </c>
      <c r="AS49" t="s">
        <v>384</v>
      </c>
      <c r="AT49" t="s">
        <v>384</v>
      </c>
      <c r="AU49" t="s">
        <v>384</v>
      </c>
      <c r="AV49" t="s">
        <v>384</v>
      </c>
      <c r="AW49" t="s">
        <v>384</v>
      </c>
      <c r="AX49" t="s">
        <v>385</v>
      </c>
      <c r="AY49" t="s">
        <v>384</v>
      </c>
      <c r="AZ49" t="s">
        <v>384</v>
      </c>
      <c r="BA49" t="s">
        <v>385</v>
      </c>
      <c r="BB49" t="s">
        <v>384</v>
      </c>
      <c r="BC49" t="s">
        <v>384</v>
      </c>
      <c r="BD49" t="s">
        <v>384</v>
      </c>
      <c r="BI49" t="s">
        <v>398</v>
      </c>
    </row>
    <row r="50" spans="1:61" x14ac:dyDescent="0.2">
      <c r="A50">
        <v>0</v>
      </c>
      <c r="B50">
        <v>1074</v>
      </c>
      <c r="D50" t="s">
        <v>348</v>
      </c>
      <c r="E50" t="s">
        <v>486</v>
      </c>
      <c r="F50" t="s">
        <v>487</v>
      </c>
      <c r="G50" t="s">
        <v>378</v>
      </c>
      <c r="J50" t="s">
        <v>87</v>
      </c>
      <c r="K50" s="21">
        <v>46086</v>
      </c>
      <c r="L50" s="21">
        <v>46088</v>
      </c>
      <c r="P50" t="s">
        <v>379</v>
      </c>
      <c r="Q50" t="s">
        <v>379</v>
      </c>
      <c r="S50" t="s">
        <v>380</v>
      </c>
      <c r="T50">
        <v>7546</v>
      </c>
      <c r="U50" t="s">
        <v>381</v>
      </c>
      <c r="AA50" t="s">
        <v>5</v>
      </c>
      <c r="AC50">
        <v>1074</v>
      </c>
      <c r="AD50">
        <v>46221</v>
      </c>
      <c r="AE50">
        <v>46161</v>
      </c>
      <c r="AF50">
        <v>102</v>
      </c>
      <c r="AG50">
        <v>102</v>
      </c>
      <c r="AH50" t="s">
        <v>382</v>
      </c>
      <c r="AI50" t="b">
        <v>0</v>
      </c>
      <c r="AJ50" t="s">
        <v>488</v>
      </c>
      <c r="AK50" t="s">
        <v>384</v>
      </c>
      <c r="AL50" t="s">
        <v>385</v>
      </c>
      <c r="AM50" t="s">
        <v>385</v>
      </c>
      <c r="AN50" t="s">
        <v>384</v>
      </c>
      <c r="AO50" t="s">
        <v>384</v>
      </c>
      <c r="AP50" t="s">
        <v>384</v>
      </c>
      <c r="AQ50" t="s">
        <v>384</v>
      </c>
      <c r="AR50" t="s">
        <v>384</v>
      </c>
      <c r="AS50" t="s">
        <v>384</v>
      </c>
      <c r="AT50" t="s">
        <v>384</v>
      </c>
      <c r="AU50" t="s">
        <v>384</v>
      </c>
      <c r="AV50" t="s">
        <v>384</v>
      </c>
      <c r="AW50" t="s">
        <v>384</v>
      </c>
      <c r="AX50" t="s">
        <v>385</v>
      </c>
      <c r="AY50" t="s">
        <v>384</v>
      </c>
      <c r="AZ50" t="s">
        <v>384</v>
      </c>
      <c r="BA50" t="s">
        <v>385</v>
      </c>
      <c r="BB50" t="s">
        <v>384</v>
      </c>
      <c r="BC50" t="s">
        <v>384</v>
      </c>
      <c r="BD50" t="s">
        <v>384</v>
      </c>
      <c r="BI50" t="s">
        <v>486</v>
      </c>
    </row>
    <row r="51" spans="1:61" x14ac:dyDescent="0.2">
      <c r="A51">
        <v>0</v>
      </c>
      <c r="B51">
        <v>909</v>
      </c>
      <c r="D51" t="s">
        <v>348</v>
      </c>
      <c r="E51" t="s">
        <v>489</v>
      </c>
      <c r="F51" t="s">
        <v>490</v>
      </c>
      <c r="G51" t="s">
        <v>378</v>
      </c>
      <c r="J51" t="s">
        <v>87</v>
      </c>
      <c r="K51" s="21">
        <v>46086</v>
      </c>
      <c r="L51" s="21">
        <v>46088</v>
      </c>
      <c r="P51" t="s">
        <v>379</v>
      </c>
      <c r="Q51" t="s">
        <v>379</v>
      </c>
      <c r="T51">
        <v>5698</v>
      </c>
      <c r="U51" t="s">
        <v>381</v>
      </c>
      <c r="AA51" t="s">
        <v>5</v>
      </c>
      <c r="AC51">
        <v>909</v>
      </c>
      <c r="AD51">
        <v>46221</v>
      </c>
      <c r="AE51">
        <v>46161</v>
      </c>
      <c r="AF51">
        <v>102</v>
      </c>
      <c r="AG51">
        <v>102</v>
      </c>
      <c r="AH51" t="s">
        <v>382</v>
      </c>
      <c r="AI51" t="b">
        <v>0</v>
      </c>
      <c r="AJ51" t="s">
        <v>491</v>
      </c>
      <c r="AK51" t="s">
        <v>384</v>
      </c>
      <c r="AL51" t="s">
        <v>385</v>
      </c>
      <c r="AM51" t="s">
        <v>385</v>
      </c>
      <c r="AN51" t="s">
        <v>384</v>
      </c>
      <c r="AO51" t="s">
        <v>384</v>
      </c>
      <c r="AP51" t="s">
        <v>384</v>
      </c>
      <c r="AQ51" t="s">
        <v>384</v>
      </c>
      <c r="AR51" t="s">
        <v>384</v>
      </c>
      <c r="AS51" t="s">
        <v>384</v>
      </c>
      <c r="AT51" t="s">
        <v>384</v>
      </c>
      <c r="AU51" t="s">
        <v>384</v>
      </c>
      <c r="AV51" t="s">
        <v>384</v>
      </c>
      <c r="AW51" t="s">
        <v>384</v>
      </c>
      <c r="AX51" t="s">
        <v>385</v>
      </c>
      <c r="AY51" t="s">
        <v>384</v>
      </c>
      <c r="AZ51" t="s">
        <v>384</v>
      </c>
      <c r="BA51" t="s">
        <v>385</v>
      </c>
      <c r="BB51" t="s">
        <v>384</v>
      </c>
      <c r="BC51" t="s">
        <v>384</v>
      </c>
      <c r="BD51" t="s">
        <v>384</v>
      </c>
      <c r="BI51" t="s">
        <v>489</v>
      </c>
    </row>
    <row r="52" spans="1:61" x14ac:dyDescent="0.2">
      <c r="A52">
        <v>0</v>
      </c>
      <c r="B52">
        <v>1076</v>
      </c>
      <c r="D52" t="s">
        <v>348</v>
      </c>
      <c r="E52" t="s">
        <v>492</v>
      </c>
      <c r="F52" t="s">
        <v>493</v>
      </c>
      <c r="G52" t="s">
        <v>378</v>
      </c>
      <c r="J52" t="s">
        <v>87</v>
      </c>
      <c r="K52" s="21">
        <v>46087</v>
      </c>
      <c r="L52" s="21">
        <v>46087</v>
      </c>
      <c r="P52" t="s">
        <v>379</v>
      </c>
      <c r="Q52" t="s">
        <v>379</v>
      </c>
      <c r="S52" t="s">
        <v>380</v>
      </c>
      <c r="T52">
        <v>7554</v>
      </c>
      <c r="U52" t="s">
        <v>381</v>
      </c>
      <c r="AA52" t="s">
        <v>5</v>
      </c>
      <c r="AC52">
        <v>1076</v>
      </c>
      <c r="AD52">
        <v>46221</v>
      </c>
      <c r="AE52">
        <v>46161</v>
      </c>
      <c r="AF52">
        <v>102</v>
      </c>
      <c r="AG52">
        <v>102</v>
      </c>
      <c r="AH52" t="s">
        <v>382</v>
      </c>
      <c r="AI52" t="b">
        <v>0</v>
      </c>
      <c r="AJ52" t="s">
        <v>494</v>
      </c>
      <c r="AK52" t="s">
        <v>384</v>
      </c>
      <c r="AL52" t="s">
        <v>385</v>
      </c>
      <c r="AM52" t="s">
        <v>385</v>
      </c>
      <c r="AN52" t="s">
        <v>384</v>
      </c>
      <c r="AO52" t="s">
        <v>384</v>
      </c>
      <c r="AP52" t="s">
        <v>384</v>
      </c>
      <c r="AQ52" t="s">
        <v>384</v>
      </c>
      <c r="AR52" t="s">
        <v>384</v>
      </c>
      <c r="AS52" t="s">
        <v>384</v>
      </c>
      <c r="AT52" t="s">
        <v>384</v>
      </c>
      <c r="AU52" t="s">
        <v>384</v>
      </c>
      <c r="AV52" t="s">
        <v>384</v>
      </c>
      <c r="AW52" t="s">
        <v>384</v>
      </c>
      <c r="AX52" t="s">
        <v>385</v>
      </c>
      <c r="AY52" t="s">
        <v>384</v>
      </c>
      <c r="AZ52" t="s">
        <v>384</v>
      </c>
      <c r="BA52" t="s">
        <v>385</v>
      </c>
      <c r="BB52" t="s">
        <v>384</v>
      </c>
      <c r="BC52" t="s">
        <v>384</v>
      </c>
      <c r="BD52" t="s">
        <v>384</v>
      </c>
      <c r="BI52" t="s">
        <v>492</v>
      </c>
    </row>
    <row r="53" spans="1:61" x14ac:dyDescent="0.2">
      <c r="A53">
        <v>0</v>
      </c>
      <c r="B53">
        <v>1075</v>
      </c>
      <c r="D53" t="s">
        <v>348</v>
      </c>
      <c r="E53" t="s">
        <v>495</v>
      </c>
      <c r="F53" t="s">
        <v>496</v>
      </c>
      <c r="G53" t="s">
        <v>378</v>
      </c>
      <c r="J53" t="s">
        <v>87</v>
      </c>
      <c r="K53" s="21">
        <v>46087</v>
      </c>
      <c r="L53" s="21">
        <v>46088</v>
      </c>
      <c r="P53" t="s">
        <v>379</v>
      </c>
      <c r="Q53" t="s">
        <v>379</v>
      </c>
      <c r="S53" t="s">
        <v>380</v>
      </c>
      <c r="T53">
        <v>7553</v>
      </c>
      <c r="U53" t="s">
        <v>381</v>
      </c>
      <c r="AA53" t="s">
        <v>5</v>
      </c>
      <c r="AC53">
        <v>1075</v>
      </c>
      <c r="AD53">
        <v>46221</v>
      </c>
      <c r="AE53">
        <v>46161</v>
      </c>
      <c r="AF53">
        <v>102</v>
      </c>
      <c r="AG53">
        <v>102</v>
      </c>
      <c r="AH53" t="s">
        <v>382</v>
      </c>
      <c r="AI53" t="b">
        <v>0</v>
      </c>
      <c r="AJ53" t="s">
        <v>497</v>
      </c>
      <c r="AK53" t="s">
        <v>384</v>
      </c>
      <c r="AL53" t="s">
        <v>385</v>
      </c>
      <c r="AM53" t="s">
        <v>385</v>
      </c>
      <c r="AN53" t="s">
        <v>384</v>
      </c>
      <c r="AO53" t="s">
        <v>384</v>
      </c>
      <c r="AP53" t="s">
        <v>384</v>
      </c>
      <c r="AQ53" t="s">
        <v>384</v>
      </c>
      <c r="AR53" t="s">
        <v>384</v>
      </c>
      <c r="AS53" t="s">
        <v>384</v>
      </c>
      <c r="AT53" t="s">
        <v>384</v>
      </c>
      <c r="AU53" t="s">
        <v>384</v>
      </c>
      <c r="AV53" t="s">
        <v>384</v>
      </c>
      <c r="AW53" t="s">
        <v>384</v>
      </c>
      <c r="AX53" t="s">
        <v>385</v>
      </c>
      <c r="AY53" t="s">
        <v>384</v>
      </c>
      <c r="AZ53" t="s">
        <v>384</v>
      </c>
      <c r="BA53" t="s">
        <v>385</v>
      </c>
      <c r="BB53" t="s">
        <v>384</v>
      </c>
      <c r="BC53" t="s">
        <v>384</v>
      </c>
      <c r="BD53" t="s">
        <v>384</v>
      </c>
      <c r="BI53" t="s">
        <v>495</v>
      </c>
    </row>
    <row r="54" spans="1:61" x14ac:dyDescent="0.2">
      <c r="A54">
        <v>0</v>
      </c>
      <c r="B54">
        <v>1142</v>
      </c>
      <c r="D54" t="s">
        <v>348</v>
      </c>
      <c r="E54" t="s">
        <v>498</v>
      </c>
      <c r="F54" t="s">
        <v>499</v>
      </c>
      <c r="G54" t="s">
        <v>378</v>
      </c>
      <c r="J54" t="s">
        <v>87</v>
      </c>
      <c r="K54" s="21">
        <v>46091</v>
      </c>
      <c r="L54" s="21">
        <v>46112</v>
      </c>
      <c r="P54" t="s">
        <v>379</v>
      </c>
      <c r="Q54" t="s">
        <v>379</v>
      </c>
      <c r="T54">
        <v>7720</v>
      </c>
      <c r="U54" t="s">
        <v>381</v>
      </c>
      <c r="AA54" t="s">
        <v>5</v>
      </c>
      <c r="AC54">
        <v>1142</v>
      </c>
      <c r="AD54">
        <v>46221</v>
      </c>
      <c r="AE54">
        <v>46161</v>
      </c>
      <c r="AF54">
        <v>102</v>
      </c>
      <c r="AG54">
        <v>102</v>
      </c>
      <c r="AH54" t="s">
        <v>382</v>
      </c>
      <c r="AI54" t="b">
        <v>0</v>
      </c>
      <c r="AJ54" t="s">
        <v>500</v>
      </c>
      <c r="AK54" t="s">
        <v>384</v>
      </c>
      <c r="AL54" t="s">
        <v>385</v>
      </c>
      <c r="AM54" t="s">
        <v>385</v>
      </c>
      <c r="AN54" t="s">
        <v>384</v>
      </c>
      <c r="AO54" t="s">
        <v>384</v>
      </c>
      <c r="AP54" t="s">
        <v>384</v>
      </c>
      <c r="AQ54" t="s">
        <v>384</v>
      </c>
      <c r="AR54" t="s">
        <v>384</v>
      </c>
      <c r="AS54" t="s">
        <v>384</v>
      </c>
      <c r="AT54" t="s">
        <v>384</v>
      </c>
      <c r="AU54" t="s">
        <v>384</v>
      </c>
      <c r="AV54" t="s">
        <v>384</v>
      </c>
      <c r="AW54" t="s">
        <v>384</v>
      </c>
      <c r="AX54" t="s">
        <v>385</v>
      </c>
      <c r="AY54" t="s">
        <v>384</v>
      </c>
      <c r="AZ54" t="s">
        <v>384</v>
      </c>
      <c r="BA54" t="s">
        <v>385</v>
      </c>
      <c r="BB54" t="s">
        <v>384</v>
      </c>
      <c r="BC54" t="s">
        <v>384</v>
      </c>
      <c r="BD54" t="s">
        <v>384</v>
      </c>
      <c r="BI54" t="s">
        <v>498</v>
      </c>
    </row>
    <row r="55" spans="1:61" x14ac:dyDescent="0.2">
      <c r="A55">
        <v>0</v>
      </c>
      <c r="B55">
        <v>1077</v>
      </c>
      <c r="D55" t="s">
        <v>348</v>
      </c>
      <c r="E55" t="s">
        <v>498</v>
      </c>
      <c r="F55" t="s">
        <v>499</v>
      </c>
      <c r="G55" t="s">
        <v>378</v>
      </c>
      <c r="J55" t="s">
        <v>87</v>
      </c>
      <c r="K55" s="21">
        <v>46091</v>
      </c>
      <c r="L55" s="21">
        <v>46091</v>
      </c>
      <c r="P55" t="s">
        <v>379</v>
      </c>
      <c r="Q55" t="s">
        <v>379</v>
      </c>
      <c r="S55" t="s">
        <v>380</v>
      </c>
      <c r="T55">
        <v>7555</v>
      </c>
      <c r="U55" t="s">
        <v>381</v>
      </c>
      <c r="AA55" t="s">
        <v>5</v>
      </c>
      <c r="AC55">
        <v>1077</v>
      </c>
      <c r="AD55">
        <v>46221</v>
      </c>
      <c r="AE55">
        <v>46161</v>
      </c>
      <c r="AF55">
        <v>102</v>
      </c>
      <c r="AG55">
        <v>102</v>
      </c>
      <c r="AH55" t="s">
        <v>382</v>
      </c>
      <c r="AI55" t="b">
        <v>0</v>
      </c>
      <c r="AJ55" t="s">
        <v>501</v>
      </c>
      <c r="AK55" t="s">
        <v>384</v>
      </c>
      <c r="AL55" t="s">
        <v>385</v>
      </c>
      <c r="AM55" t="s">
        <v>385</v>
      </c>
      <c r="AN55" t="s">
        <v>384</v>
      </c>
      <c r="AO55" t="s">
        <v>384</v>
      </c>
      <c r="AP55" t="s">
        <v>384</v>
      </c>
      <c r="AQ55" t="s">
        <v>384</v>
      </c>
      <c r="AR55" t="s">
        <v>384</v>
      </c>
      <c r="AS55" t="s">
        <v>384</v>
      </c>
      <c r="AT55" t="s">
        <v>384</v>
      </c>
      <c r="AU55" t="s">
        <v>384</v>
      </c>
      <c r="AV55" t="s">
        <v>384</v>
      </c>
      <c r="AW55" t="s">
        <v>384</v>
      </c>
      <c r="AX55" t="s">
        <v>385</v>
      </c>
      <c r="AY55" t="s">
        <v>384</v>
      </c>
      <c r="AZ55" t="s">
        <v>384</v>
      </c>
      <c r="BA55" t="s">
        <v>385</v>
      </c>
      <c r="BB55" t="s">
        <v>384</v>
      </c>
      <c r="BC55" t="s">
        <v>384</v>
      </c>
      <c r="BD55" t="s">
        <v>384</v>
      </c>
      <c r="BI55" t="s">
        <v>498</v>
      </c>
    </row>
    <row r="56" spans="1:61" x14ac:dyDescent="0.2">
      <c r="A56">
        <v>0</v>
      </c>
      <c r="B56">
        <v>1066</v>
      </c>
      <c r="D56" t="s">
        <v>348</v>
      </c>
      <c r="E56" t="s">
        <v>502</v>
      </c>
      <c r="F56" t="s">
        <v>503</v>
      </c>
      <c r="G56" t="s">
        <v>378</v>
      </c>
      <c r="J56" t="s">
        <v>87</v>
      </c>
      <c r="K56" s="21">
        <v>46093</v>
      </c>
      <c r="L56" s="21">
        <v>46095</v>
      </c>
      <c r="P56" t="s">
        <v>379</v>
      </c>
      <c r="Q56" t="s">
        <v>379</v>
      </c>
      <c r="S56" t="s">
        <v>380</v>
      </c>
      <c r="T56">
        <v>7486</v>
      </c>
      <c r="U56" t="s">
        <v>381</v>
      </c>
      <c r="AA56" t="s">
        <v>5</v>
      </c>
      <c r="AC56">
        <v>1066</v>
      </c>
      <c r="AD56">
        <v>46221</v>
      </c>
      <c r="AE56">
        <v>46161</v>
      </c>
      <c r="AF56">
        <v>102</v>
      </c>
      <c r="AG56">
        <v>102</v>
      </c>
      <c r="AH56" t="s">
        <v>382</v>
      </c>
      <c r="AI56" t="b">
        <v>0</v>
      </c>
      <c r="AJ56" t="s">
        <v>504</v>
      </c>
      <c r="AK56" t="s">
        <v>384</v>
      </c>
      <c r="AL56" t="s">
        <v>385</v>
      </c>
      <c r="AM56" t="s">
        <v>385</v>
      </c>
      <c r="AN56" t="s">
        <v>384</v>
      </c>
      <c r="AO56" t="s">
        <v>384</v>
      </c>
      <c r="AP56" t="s">
        <v>384</v>
      </c>
      <c r="AQ56" t="s">
        <v>384</v>
      </c>
      <c r="AR56" t="s">
        <v>384</v>
      </c>
      <c r="AS56" t="s">
        <v>384</v>
      </c>
      <c r="AT56" t="s">
        <v>384</v>
      </c>
      <c r="AU56" t="s">
        <v>384</v>
      </c>
      <c r="AV56" t="s">
        <v>384</v>
      </c>
      <c r="AW56" t="s">
        <v>384</v>
      </c>
      <c r="AX56" t="s">
        <v>385</v>
      </c>
      <c r="AY56" t="s">
        <v>384</v>
      </c>
      <c r="AZ56" t="s">
        <v>384</v>
      </c>
      <c r="BA56" t="s">
        <v>385</v>
      </c>
      <c r="BB56" t="s">
        <v>384</v>
      </c>
      <c r="BC56" t="s">
        <v>384</v>
      </c>
      <c r="BD56" t="s">
        <v>384</v>
      </c>
      <c r="BI56" t="s">
        <v>502</v>
      </c>
    </row>
    <row r="57" spans="1:61" x14ac:dyDescent="0.2">
      <c r="A57">
        <v>0</v>
      </c>
      <c r="B57">
        <v>1065</v>
      </c>
      <c r="D57" t="s">
        <v>348</v>
      </c>
      <c r="E57" t="s">
        <v>505</v>
      </c>
      <c r="F57" t="s">
        <v>506</v>
      </c>
      <c r="G57" t="s">
        <v>378</v>
      </c>
      <c r="J57" t="s">
        <v>87</v>
      </c>
      <c r="K57" s="21">
        <v>46093</v>
      </c>
      <c r="L57" s="21">
        <v>46095</v>
      </c>
      <c r="P57" t="s">
        <v>379</v>
      </c>
      <c r="Q57" t="s">
        <v>379</v>
      </c>
      <c r="S57" t="s">
        <v>380</v>
      </c>
      <c r="T57">
        <v>7485</v>
      </c>
      <c r="U57" t="s">
        <v>381</v>
      </c>
      <c r="AA57" t="s">
        <v>5</v>
      </c>
      <c r="AC57">
        <v>1065</v>
      </c>
      <c r="AD57">
        <v>46221</v>
      </c>
      <c r="AE57">
        <v>46161</v>
      </c>
      <c r="AF57">
        <v>102</v>
      </c>
      <c r="AG57">
        <v>102</v>
      </c>
      <c r="AH57" t="s">
        <v>382</v>
      </c>
      <c r="AI57" t="b">
        <v>0</v>
      </c>
      <c r="AJ57" t="s">
        <v>507</v>
      </c>
      <c r="AK57" t="s">
        <v>384</v>
      </c>
      <c r="AL57" t="s">
        <v>385</v>
      </c>
      <c r="AM57" t="s">
        <v>385</v>
      </c>
      <c r="AN57" t="s">
        <v>384</v>
      </c>
      <c r="AO57" t="s">
        <v>384</v>
      </c>
      <c r="AP57" t="s">
        <v>384</v>
      </c>
      <c r="AQ57" t="s">
        <v>384</v>
      </c>
      <c r="AR57" t="s">
        <v>384</v>
      </c>
      <c r="AS57" t="s">
        <v>384</v>
      </c>
      <c r="AT57" t="s">
        <v>384</v>
      </c>
      <c r="AU57" t="s">
        <v>384</v>
      </c>
      <c r="AV57" t="s">
        <v>384</v>
      </c>
      <c r="AW57" t="s">
        <v>384</v>
      </c>
      <c r="AX57" t="s">
        <v>385</v>
      </c>
      <c r="AY57" t="s">
        <v>384</v>
      </c>
      <c r="AZ57" t="s">
        <v>384</v>
      </c>
      <c r="BA57" t="s">
        <v>385</v>
      </c>
      <c r="BB57" t="s">
        <v>384</v>
      </c>
      <c r="BC57" t="s">
        <v>384</v>
      </c>
      <c r="BD57" t="s">
        <v>384</v>
      </c>
      <c r="BI57" t="s">
        <v>505</v>
      </c>
    </row>
    <row r="58" spans="1:61" x14ac:dyDescent="0.2">
      <c r="A58">
        <v>0</v>
      </c>
      <c r="B58">
        <v>1064</v>
      </c>
      <c r="D58" t="s">
        <v>348</v>
      </c>
      <c r="E58" t="s">
        <v>508</v>
      </c>
      <c r="F58" t="s">
        <v>509</v>
      </c>
      <c r="G58" t="s">
        <v>378</v>
      </c>
      <c r="J58" t="s">
        <v>87</v>
      </c>
      <c r="K58" s="21">
        <v>46093</v>
      </c>
      <c r="L58" s="21">
        <v>46095</v>
      </c>
      <c r="P58" t="s">
        <v>379</v>
      </c>
      <c r="Q58" t="s">
        <v>379</v>
      </c>
      <c r="S58" t="s">
        <v>380</v>
      </c>
      <c r="T58">
        <v>7484</v>
      </c>
      <c r="U58" t="s">
        <v>381</v>
      </c>
      <c r="AA58" t="s">
        <v>5</v>
      </c>
      <c r="AC58">
        <v>1064</v>
      </c>
      <c r="AD58">
        <v>46221</v>
      </c>
      <c r="AE58">
        <v>46161</v>
      </c>
      <c r="AF58">
        <v>102</v>
      </c>
      <c r="AG58">
        <v>102</v>
      </c>
      <c r="AH58" t="s">
        <v>382</v>
      </c>
      <c r="AI58" t="b">
        <v>0</v>
      </c>
      <c r="AJ58" t="s">
        <v>510</v>
      </c>
      <c r="AK58" t="s">
        <v>384</v>
      </c>
      <c r="AL58" t="s">
        <v>385</v>
      </c>
      <c r="AM58" t="s">
        <v>385</v>
      </c>
      <c r="AN58" t="s">
        <v>384</v>
      </c>
      <c r="AO58" t="s">
        <v>384</v>
      </c>
      <c r="AP58" t="s">
        <v>384</v>
      </c>
      <c r="AQ58" t="s">
        <v>384</v>
      </c>
      <c r="AR58" t="s">
        <v>384</v>
      </c>
      <c r="AS58" t="s">
        <v>384</v>
      </c>
      <c r="AT58" t="s">
        <v>384</v>
      </c>
      <c r="AU58" t="s">
        <v>384</v>
      </c>
      <c r="AV58" t="s">
        <v>384</v>
      </c>
      <c r="AW58" t="s">
        <v>384</v>
      </c>
      <c r="AX58" t="s">
        <v>385</v>
      </c>
      <c r="AY58" t="s">
        <v>384</v>
      </c>
      <c r="AZ58" t="s">
        <v>384</v>
      </c>
      <c r="BA58" t="s">
        <v>385</v>
      </c>
      <c r="BB58" t="s">
        <v>384</v>
      </c>
      <c r="BC58" t="s">
        <v>384</v>
      </c>
      <c r="BD58" t="s">
        <v>384</v>
      </c>
      <c r="BI58" t="s">
        <v>508</v>
      </c>
    </row>
    <row r="59" spans="1:61" x14ac:dyDescent="0.2">
      <c r="A59">
        <v>0</v>
      </c>
      <c r="B59">
        <v>1067</v>
      </c>
      <c r="D59" t="s">
        <v>348</v>
      </c>
      <c r="E59" t="s">
        <v>511</v>
      </c>
      <c r="F59" t="s">
        <v>512</v>
      </c>
      <c r="G59" t="s">
        <v>378</v>
      </c>
      <c r="J59" t="s">
        <v>87</v>
      </c>
      <c r="K59" s="21">
        <v>46093</v>
      </c>
      <c r="L59" s="21">
        <v>46095</v>
      </c>
      <c r="P59" t="s">
        <v>379</v>
      </c>
      <c r="Q59" t="s">
        <v>379</v>
      </c>
      <c r="S59" t="s">
        <v>380</v>
      </c>
      <c r="T59">
        <v>7487</v>
      </c>
      <c r="U59" t="s">
        <v>381</v>
      </c>
      <c r="AA59" t="s">
        <v>5</v>
      </c>
      <c r="AC59">
        <v>1067</v>
      </c>
      <c r="AD59">
        <v>46221</v>
      </c>
      <c r="AE59">
        <v>46161</v>
      </c>
      <c r="AF59">
        <v>102</v>
      </c>
      <c r="AG59">
        <v>102</v>
      </c>
      <c r="AH59" t="s">
        <v>382</v>
      </c>
      <c r="AI59" t="b">
        <v>0</v>
      </c>
      <c r="AJ59" t="s">
        <v>513</v>
      </c>
      <c r="AK59" t="s">
        <v>384</v>
      </c>
      <c r="AL59" t="s">
        <v>385</v>
      </c>
      <c r="AM59" t="s">
        <v>385</v>
      </c>
      <c r="AN59" t="s">
        <v>384</v>
      </c>
      <c r="AO59" t="s">
        <v>384</v>
      </c>
      <c r="AP59" t="s">
        <v>384</v>
      </c>
      <c r="AQ59" t="s">
        <v>384</v>
      </c>
      <c r="AR59" t="s">
        <v>384</v>
      </c>
      <c r="AS59" t="s">
        <v>384</v>
      </c>
      <c r="AT59" t="s">
        <v>384</v>
      </c>
      <c r="AU59" t="s">
        <v>384</v>
      </c>
      <c r="AV59" t="s">
        <v>384</v>
      </c>
      <c r="AW59" t="s">
        <v>384</v>
      </c>
      <c r="AX59" t="s">
        <v>385</v>
      </c>
      <c r="AY59" t="s">
        <v>384</v>
      </c>
      <c r="AZ59" t="s">
        <v>384</v>
      </c>
      <c r="BA59" t="s">
        <v>385</v>
      </c>
      <c r="BB59" t="s">
        <v>384</v>
      </c>
      <c r="BC59" t="s">
        <v>384</v>
      </c>
      <c r="BD59" t="s">
        <v>384</v>
      </c>
      <c r="BI59" t="s">
        <v>511</v>
      </c>
    </row>
    <row r="60" spans="1:61" x14ac:dyDescent="0.2">
      <c r="A60">
        <v>0</v>
      </c>
      <c r="B60">
        <v>907</v>
      </c>
      <c r="D60" t="s">
        <v>348</v>
      </c>
      <c r="E60" t="s">
        <v>514</v>
      </c>
      <c r="F60" t="s">
        <v>416</v>
      </c>
      <c r="G60" t="s">
        <v>378</v>
      </c>
      <c r="J60" t="s">
        <v>87</v>
      </c>
      <c r="K60" s="21">
        <v>46094</v>
      </c>
      <c r="L60" s="21">
        <v>46094</v>
      </c>
      <c r="P60" t="s">
        <v>379</v>
      </c>
      <c r="Q60" t="s">
        <v>379</v>
      </c>
      <c r="T60">
        <v>5696</v>
      </c>
      <c r="U60" t="s">
        <v>381</v>
      </c>
      <c r="Z60" t="s">
        <v>413</v>
      </c>
      <c r="AA60" t="s">
        <v>5</v>
      </c>
      <c r="AC60">
        <v>907</v>
      </c>
      <c r="AD60">
        <v>46221</v>
      </c>
      <c r="AE60">
        <v>46161</v>
      </c>
      <c r="AF60">
        <v>102</v>
      </c>
      <c r="AG60">
        <v>102</v>
      </c>
      <c r="AH60" t="s">
        <v>414</v>
      </c>
      <c r="AI60" t="b">
        <v>0</v>
      </c>
      <c r="AJ60" t="s">
        <v>515</v>
      </c>
      <c r="AK60" t="s">
        <v>384</v>
      </c>
      <c r="AL60" t="s">
        <v>385</v>
      </c>
      <c r="AM60" t="s">
        <v>385</v>
      </c>
      <c r="AN60" t="s">
        <v>384</v>
      </c>
      <c r="AO60" t="s">
        <v>384</v>
      </c>
      <c r="AP60" t="s">
        <v>384</v>
      </c>
      <c r="AQ60" t="s">
        <v>384</v>
      </c>
      <c r="AR60" t="s">
        <v>384</v>
      </c>
      <c r="AS60" t="s">
        <v>384</v>
      </c>
      <c r="AT60" t="s">
        <v>384</v>
      </c>
      <c r="AU60" t="s">
        <v>384</v>
      </c>
      <c r="AV60" t="s">
        <v>384</v>
      </c>
      <c r="AW60" t="s">
        <v>384</v>
      </c>
      <c r="AX60" t="s">
        <v>385</v>
      </c>
      <c r="AY60" t="s">
        <v>384</v>
      </c>
      <c r="AZ60" t="s">
        <v>384</v>
      </c>
      <c r="BA60" t="s">
        <v>385</v>
      </c>
      <c r="BB60" t="s">
        <v>384</v>
      </c>
      <c r="BC60" t="s">
        <v>384</v>
      </c>
      <c r="BD60" t="s">
        <v>384</v>
      </c>
      <c r="BI60" t="s">
        <v>514</v>
      </c>
    </row>
    <row r="61" spans="1:61" x14ac:dyDescent="0.2">
      <c r="A61">
        <v>0</v>
      </c>
      <c r="B61">
        <v>993</v>
      </c>
      <c r="D61" t="s">
        <v>348</v>
      </c>
      <c r="E61" t="s">
        <v>405</v>
      </c>
      <c r="F61" t="s">
        <v>406</v>
      </c>
      <c r="G61" t="s">
        <v>378</v>
      </c>
      <c r="J61" t="s">
        <v>87</v>
      </c>
      <c r="K61" s="21">
        <v>46095</v>
      </c>
      <c r="L61" s="21">
        <v>46095</v>
      </c>
      <c r="P61" t="s">
        <v>379</v>
      </c>
      <c r="Q61" t="s">
        <v>379</v>
      </c>
      <c r="S61" t="s">
        <v>407</v>
      </c>
      <c r="T61">
        <v>5783</v>
      </c>
      <c r="U61" t="s">
        <v>381</v>
      </c>
      <c r="AA61" t="s">
        <v>5</v>
      </c>
      <c r="AC61">
        <v>993</v>
      </c>
      <c r="AD61">
        <v>46221</v>
      </c>
      <c r="AE61">
        <v>46161</v>
      </c>
      <c r="AF61">
        <v>102</v>
      </c>
      <c r="AG61">
        <v>102</v>
      </c>
      <c r="AH61" t="s">
        <v>382</v>
      </c>
      <c r="AI61" t="b">
        <v>0</v>
      </c>
      <c r="AJ61" t="s">
        <v>516</v>
      </c>
      <c r="AK61" t="s">
        <v>384</v>
      </c>
      <c r="AL61" t="s">
        <v>385</v>
      </c>
      <c r="AM61" t="s">
        <v>385</v>
      </c>
      <c r="AN61" t="s">
        <v>384</v>
      </c>
      <c r="AO61" t="s">
        <v>384</v>
      </c>
      <c r="AP61" t="s">
        <v>384</v>
      </c>
      <c r="AQ61" t="s">
        <v>384</v>
      </c>
      <c r="AR61" t="s">
        <v>384</v>
      </c>
      <c r="AS61" t="s">
        <v>384</v>
      </c>
      <c r="AT61" t="s">
        <v>384</v>
      </c>
      <c r="AU61" t="s">
        <v>384</v>
      </c>
      <c r="AV61" t="s">
        <v>384</v>
      </c>
      <c r="AW61" t="s">
        <v>384</v>
      </c>
      <c r="AX61" t="s">
        <v>385</v>
      </c>
      <c r="AY61" t="s">
        <v>384</v>
      </c>
      <c r="AZ61" t="s">
        <v>384</v>
      </c>
      <c r="BA61" t="s">
        <v>385</v>
      </c>
      <c r="BB61" t="s">
        <v>384</v>
      </c>
      <c r="BC61" t="s">
        <v>384</v>
      </c>
      <c r="BD61" t="s">
        <v>384</v>
      </c>
      <c r="BI61" t="s">
        <v>405</v>
      </c>
    </row>
    <row r="62" spans="1:61" x14ac:dyDescent="0.2">
      <c r="A62">
        <v>0</v>
      </c>
      <c r="B62">
        <v>972</v>
      </c>
      <c r="D62" t="s">
        <v>348</v>
      </c>
      <c r="E62" t="s">
        <v>440</v>
      </c>
      <c r="F62" t="s">
        <v>406</v>
      </c>
      <c r="G62" t="s">
        <v>378</v>
      </c>
      <c r="J62" t="s">
        <v>87</v>
      </c>
      <c r="K62" s="21">
        <v>46096</v>
      </c>
      <c r="L62" s="21">
        <v>46096</v>
      </c>
      <c r="P62" t="s">
        <v>379</v>
      </c>
      <c r="Q62" t="s">
        <v>379</v>
      </c>
      <c r="T62">
        <v>5762</v>
      </c>
      <c r="U62" t="s">
        <v>381</v>
      </c>
      <c r="Z62" t="s">
        <v>413</v>
      </c>
      <c r="AA62" t="s">
        <v>5</v>
      </c>
      <c r="AC62">
        <v>972</v>
      </c>
      <c r="AD62">
        <v>46221</v>
      </c>
      <c r="AE62">
        <v>46161</v>
      </c>
      <c r="AF62">
        <v>102</v>
      </c>
      <c r="AG62">
        <v>102</v>
      </c>
      <c r="AH62" t="s">
        <v>382</v>
      </c>
      <c r="AI62" t="b">
        <v>0</v>
      </c>
      <c r="AJ62" t="s">
        <v>517</v>
      </c>
      <c r="AK62" t="s">
        <v>384</v>
      </c>
      <c r="AL62" t="s">
        <v>385</v>
      </c>
      <c r="AM62" t="s">
        <v>385</v>
      </c>
      <c r="AN62" t="s">
        <v>384</v>
      </c>
      <c r="AO62" t="s">
        <v>384</v>
      </c>
      <c r="AP62" t="s">
        <v>384</v>
      </c>
      <c r="AQ62" t="s">
        <v>384</v>
      </c>
      <c r="AR62" t="s">
        <v>384</v>
      </c>
      <c r="AS62" t="s">
        <v>384</v>
      </c>
      <c r="AT62" t="s">
        <v>384</v>
      </c>
      <c r="AU62" t="s">
        <v>384</v>
      </c>
      <c r="AV62" t="s">
        <v>384</v>
      </c>
      <c r="AW62" t="s">
        <v>384</v>
      </c>
      <c r="AX62" t="s">
        <v>385</v>
      </c>
      <c r="AY62" t="s">
        <v>384</v>
      </c>
      <c r="AZ62" t="s">
        <v>384</v>
      </c>
      <c r="BA62" t="s">
        <v>385</v>
      </c>
      <c r="BB62" t="s">
        <v>384</v>
      </c>
      <c r="BC62" t="s">
        <v>384</v>
      </c>
      <c r="BD62" t="s">
        <v>384</v>
      </c>
      <c r="BI62" t="s">
        <v>440</v>
      </c>
    </row>
    <row r="63" spans="1:61" x14ac:dyDescent="0.2">
      <c r="A63">
        <v>0</v>
      </c>
      <c r="B63">
        <v>952</v>
      </c>
      <c r="D63" t="s">
        <v>348</v>
      </c>
      <c r="E63" t="s">
        <v>409</v>
      </c>
      <c r="F63" t="s">
        <v>410</v>
      </c>
      <c r="G63" t="s">
        <v>378</v>
      </c>
      <c r="J63" t="s">
        <v>87</v>
      </c>
      <c r="K63" s="21">
        <v>46096</v>
      </c>
      <c r="L63" s="21">
        <v>46096</v>
      </c>
      <c r="P63" t="s">
        <v>379</v>
      </c>
      <c r="Q63" t="s">
        <v>379</v>
      </c>
      <c r="T63">
        <v>5742</v>
      </c>
      <c r="U63" t="s">
        <v>381</v>
      </c>
      <c r="AA63" t="s">
        <v>5</v>
      </c>
      <c r="AC63">
        <v>952</v>
      </c>
      <c r="AD63">
        <v>46221</v>
      </c>
      <c r="AE63">
        <v>46161</v>
      </c>
      <c r="AF63">
        <v>102</v>
      </c>
      <c r="AG63">
        <v>102</v>
      </c>
      <c r="AH63" t="s">
        <v>382</v>
      </c>
      <c r="AI63" t="b">
        <v>0</v>
      </c>
      <c r="AJ63" t="s">
        <v>518</v>
      </c>
      <c r="AK63" t="s">
        <v>384</v>
      </c>
      <c r="AL63" t="s">
        <v>385</v>
      </c>
      <c r="AM63" t="s">
        <v>385</v>
      </c>
      <c r="AN63" t="s">
        <v>384</v>
      </c>
      <c r="AO63" t="s">
        <v>384</v>
      </c>
      <c r="AP63" t="s">
        <v>384</v>
      </c>
      <c r="AQ63" t="s">
        <v>384</v>
      </c>
      <c r="AR63" t="s">
        <v>384</v>
      </c>
      <c r="AS63" t="s">
        <v>384</v>
      </c>
      <c r="AT63" t="s">
        <v>384</v>
      </c>
      <c r="AU63" t="s">
        <v>384</v>
      </c>
      <c r="AV63" t="s">
        <v>384</v>
      </c>
      <c r="AW63" t="s">
        <v>384</v>
      </c>
      <c r="AX63" t="s">
        <v>385</v>
      </c>
      <c r="AY63" t="s">
        <v>384</v>
      </c>
      <c r="AZ63" t="s">
        <v>384</v>
      </c>
      <c r="BA63" t="s">
        <v>385</v>
      </c>
      <c r="BB63" t="s">
        <v>384</v>
      </c>
      <c r="BC63" t="s">
        <v>384</v>
      </c>
      <c r="BD63" t="s">
        <v>384</v>
      </c>
      <c r="BI63" t="s">
        <v>409</v>
      </c>
    </row>
    <row r="64" spans="1:61" x14ac:dyDescent="0.2">
      <c r="A64">
        <v>0</v>
      </c>
      <c r="B64">
        <v>981</v>
      </c>
      <c r="D64" t="s">
        <v>348</v>
      </c>
      <c r="E64" t="s">
        <v>442</v>
      </c>
      <c r="F64" t="s">
        <v>406</v>
      </c>
      <c r="G64" t="s">
        <v>378</v>
      </c>
      <c r="J64" t="s">
        <v>87</v>
      </c>
      <c r="K64" s="21">
        <v>46098</v>
      </c>
      <c r="L64" s="21">
        <v>46098</v>
      </c>
      <c r="P64" t="s">
        <v>379</v>
      </c>
      <c r="Q64" t="s">
        <v>379</v>
      </c>
      <c r="T64">
        <v>5771</v>
      </c>
      <c r="U64" t="s">
        <v>381</v>
      </c>
      <c r="AA64" t="s">
        <v>5</v>
      </c>
      <c r="AC64">
        <v>981</v>
      </c>
      <c r="AD64">
        <v>46221</v>
      </c>
      <c r="AE64">
        <v>46161</v>
      </c>
      <c r="AF64">
        <v>102</v>
      </c>
      <c r="AG64">
        <v>102</v>
      </c>
      <c r="AH64" t="s">
        <v>519</v>
      </c>
      <c r="AI64" t="b">
        <v>0</v>
      </c>
      <c r="AJ64" t="s">
        <v>520</v>
      </c>
      <c r="AK64" t="s">
        <v>384</v>
      </c>
      <c r="AL64" t="s">
        <v>385</v>
      </c>
      <c r="AM64" t="s">
        <v>385</v>
      </c>
      <c r="AN64" t="s">
        <v>384</v>
      </c>
      <c r="AO64" t="s">
        <v>384</v>
      </c>
      <c r="AP64" t="s">
        <v>384</v>
      </c>
      <c r="AQ64" t="s">
        <v>384</v>
      </c>
      <c r="AR64" t="s">
        <v>384</v>
      </c>
      <c r="AS64" t="s">
        <v>384</v>
      </c>
      <c r="AT64" t="s">
        <v>384</v>
      </c>
      <c r="AU64" t="s">
        <v>384</v>
      </c>
      <c r="AV64" t="s">
        <v>384</v>
      </c>
      <c r="AW64" t="s">
        <v>384</v>
      </c>
      <c r="AX64" t="s">
        <v>385</v>
      </c>
      <c r="AY64" t="s">
        <v>384</v>
      </c>
      <c r="AZ64" t="s">
        <v>384</v>
      </c>
      <c r="BA64" t="s">
        <v>385</v>
      </c>
      <c r="BB64" t="s">
        <v>384</v>
      </c>
      <c r="BC64" t="s">
        <v>384</v>
      </c>
      <c r="BD64" t="s">
        <v>384</v>
      </c>
      <c r="BI64" t="s">
        <v>442</v>
      </c>
    </row>
    <row r="65" spans="1:61" x14ac:dyDescent="0.2">
      <c r="A65">
        <v>0</v>
      </c>
      <c r="B65">
        <v>929</v>
      </c>
      <c r="D65" t="s">
        <v>348</v>
      </c>
      <c r="E65" t="s">
        <v>445</v>
      </c>
      <c r="F65" t="s">
        <v>406</v>
      </c>
      <c r="G65" t="s">
        <v>378</v>
      </c>
      <c r="J65" t="s">
        <v>87</v>
      </c>
      <c r="K65" s="21">
        <v>46099</v>
      </c>
      <c r="L65" s="21">
        <v>46099</v>
      </c>
      <c r="P65" t="s">
        <v>379</v>
      </c>
      <c r="Q65" t="s">
        <v>379</v>
      </c>
      <c r="T65">
        <v>5719</v>
      </c>
      <c r="U65" t="s">
        <v>381</v>
      </c>
      <c r="AA65" t="s">
        <v>5</v>
      </c>
      <c r="AC65">
        <v>929</v>
      </c>
      <c r="AD65">
        <v>46221</v>
      </c>
      <c r="AE65">
        <v>46161</v>
      </c>
      <c r="AF65">
        <v>102</v>
      </c>
      <c r="AG65">
        <v>102</v>
      </c>
      <c r="AH65" t="s">
        <v>519</v>
      </c>
      <c r="AI65" t="b">
        <v>0</v>
      </c>
      <c r="AJ65" t="s">
        <v>521</v>
      </c>
      <c r="AK65" t="s">
        <v>384</v>
      </c>
      <c r="AL65" t="s">
        <v>385</v>
      </c>
      <c r="AM65" t="s">
        <v>385</v>
      </c>
      <c r="AN65" t="s">
        <v>384</v>
      </c>
      <c r="AO65" t="s">
        <v>384</v>
      </c>
      <c r="AP65" t="s">
        <v>384</v>
      </c>
      <c r="AQ65" t="s">
        <v>384</v>
      </c>
      <c r="AR65" t="s">
        <v>384</v>
      </c>
      <c r="AS65" t="s">
        <v>384</v>
      </c>
      <c r="AT65" t="s">
        <v>384</v>
      </c>
      <c r="AU65" t="s">
        <v>384</v>
      </c>
      <c r="AV65" t="s">
        <v>384</v>
      </c>
      <c r="AW65" t="s">
        <v>384</v>
      </c>
      <c r="AX65" t="s">
        <v>385</v>
      </c>
      <c r="AY65" t="s">
        <v>384</v>
      </c>
      <c r="AZ65" t="s">
        <v>384</v>
      </c>
      <c r="BA65" t="s">
        <v>385</v>
      </c>
      <c r="BB65" t="s">
        <v>384</v>
      </c>
      <c r="BC65" t="s">
        <v>384</v>
      </c>
      <c r="BD65" t="s">
        <v>384</v>
      </c>
      <c r="BI65" t="s">
        <v>445</v>
      </c>
    </row>
    <row r="66" spans="1:61" x14ac:dyDescent="0.2">
      <c r="A66">
        <v>0</v>
      </c>
      <c r="B66">
        <v>1078</v>
      </c>
      <c r="D66" t="s">
        <v>348</v>
      </c>
      <c r="E66" t="s">
        <v>431</v>
      </c>
      <c r="F66" t="s">
        <v>522</v>
      </c>
      <c r="G66" t="s">
        <v>378</v>
      </c>
      <c r="J66" t="s">
        <v>87</v>
      </c>
      <c r="K66" s="21">
        <v>46100</v>
      </c>
      <c r="L66" s="21">
        <v>46102</v>
      </c>
      <c r="P66" t="s">
        <v>379</v>
      </c>
      <c r="Q66" t="s">
        <v>379</v>
      </c>
      <c r="S66" t="s">
        <v>380</v>
      </c>
      <c r="T66">
        <v>7557</v>
      </c>
      <c r="U66" t="s">
        <v>381</v>
      </c>
      <c r="AA66" t="s">
        <v>5</v>
      </c>
      <c r="AC66">
        <v>1078</v>
      </c>
      <c r="AD66">
        <v>46221</v>
      </c>
      <c r="AE66">
        <v>46161</v>
      </c>
      <c r="AF66">
        <v>102</v>
      </c>
      <c r="AG66">
        <v>102</v>
      </c>
      <c r="AH66" t="s">
        <v>519</v>
      </c>
      <c r="AI66" t="b">
        <v>0</v>
      </c>
      <c r="AJ66" t="s">
        <v>523</v>
      </c>
      <c r="AK66" t="s">
        <v>384</v>
      </c>
      <c r="AL66" t="s">
        <v>385</v>
      </c>
      <c r="AM66" t="s">
        <v>385</v>
      </c>
      <c r="AN66" t="s">
        <v>384</v>
      </c>
      <c r="AO66" t="s">
        <v>384</v>
      </c>
      <c r="AP66" t="s">
        <v>384</v>
      </c>
      <c r="AQ66" t="s">
        <v>384</v>
      </c>
      <c r="AR66" t="s">
        <v>384</v>
      </c>
      <c r="AS66" t="s">
        <v>384</v>
      </c>
      <c r="AT66" t="s">
        <v>384</v>
      </c>
      <c r="AU66" t="s">
        <v>384</v>
      </c>
      <c r="AV66" t="s">
        <v>384</v>
      </c>
      <c r="AW66" t="s">
        <v>384</v>
      </c>
      <c r="AX66" t="s">
        <v>385</v>
      </c>
      <c r="AY66" t="s">
        <v>384</v>
      </c>
      <c r="AZ66" t="s">
        <v>384</v>
      </c>
      <c r="BA66" t="s">
        <v>385</v>
      </c>
      <c r="BB66" t="s">
        <v>384</v>
      </c>
      <c r="BC66" t="s">
        <v>384</v>
      </c>
      <c r="BD66" t="s">
        <v>384</v>
      </c>
      <c r="BI66" t="s">
        <v>431</v>
      </c>
    </row>
    <row r="67" spans="1:61" x14ac:dyDescent="0.2">
      <c r="A67">
        <v>0</v>
      </c>
      <c r="B67">
        <v>1079</v>
      </c>
      <c r="D67" t="s">
        <v>348</v>
      </c>
      <c r="E67" t="s">
        <v>392</v>
      </c>
      <c r="F67" t="s">
        <v>524</v>
      </c>
      <c r="G67" t="s">
        <v>378</v>
      </c>
      <c r="J67" t="s">
        <v>87</v>
      </c>
      <c r="K67" s="21">
        <v>46100</v>
      </c>
      <c r="L67" s="21">
        <v>46102</v>
      </c>
      <c r="P67" t="s">
        <v>379</v>
      </c>
      <c r="Q67" t="s">
        <v>379</v>
      </c>
      <c r="S67" t="s">
        <v>380</v>
      </c>
      <c r="T67">
        <v>7558</v>
      </c>
      <c r="U67" t="s">
        <v>381</v>
      </c>
      <c r="AA67" t="s">
        <v>5</v>
      </c>
      <c r="AC67">
        <v>1079</v>
      </c>
      <c r="AD67">
        <v>46221</v>
      </c>
      <c r="AE67">
        <v>46161</v>
      </c>
      <c r="AF67">
        <v>102</v>
      </c>
      <c r="AG67">
        <v>102</v>
      </c>
      <c r="AH67" t="s">
        <v>519</v>
      </c>
      <c r="AI67" t="b">
        <v>0</v>
      </c>
      <c r="AJ67" t="s">
        <v>525</v>
      </c>
      <c r="AK67" t="s">
        <v>384</v>
      </c>
      <c r="AL67" t="s">
        <v>385</v>
      </c>
      <c r="AM67" t="s">
        <v>385</v>
      </c>
      <c r="AN67" t="s">
        <v>384</v>
      </c>
      <c r="AO67" t="s">
        <v>384</v>
      </c>
      <c r="AP67" t="s">
        <v>384</v>
      </c>
      <c r="AQ67" t="s">
        <v>384</v>
      </c>
      <c r="AR67" t="s">
        <v>384</v>
      </c>
      <c r="AS67" t="s">
        <v>384</v>
      </c>
      <c r="AT67" t="s">
        <v>384</v>
      </c>
      <c r="AU67" t="s">
        <v>384</v>
      </c>
      <c r="AV67" t="s">
        <v>384</v>
      </c>
      <c r="AW67" t="s">
        <v>384</v>
      </c>
      <c r="AX67" t="s">
        <v>385</v>
      </c>
      <c r="AY67" t="s">
        <v>384</v>
      </c>
      <c r="AZ67" t="s">
        <v>384</v>
      </c>
      <c r="BA67" t="s">
        <v>385</v>
      </c>
      <c r="BB67" t="s">
        <v>384</v>
      </c>
      <c r="BC67" t="s">
        <v>384</v>
      </c>
      <c r="BD67" t="s">
        <v>384</v>
      </c>
      <c r="BI67" t="s">
        <v>392</v>
      </c>
    </row>
    <row r="68" spans="1:61" x14ac:dyDescent="0.2">
      <c r="A68">
        <v>0</v>
      </c>
      <c r="B68">
        <v>1080</v>
      </c>
      <c r="D68" t="s">
        <v>348</v>
      </c>
      <c r="E68" t="s">
        <v>389</v>
      </c>
      <c r="F68" t="s">
        <v>526</v>
      </c>
      <c r="G68" t="s">
        <v>378</v>
      </c>
      <c r="J68" t="s">
        <v>87</v>
      </c>
      <c r="K68" s="21">
        <v>46100</v>
      </c>
      <c r="L68" s="21">
        <v>46102</v>
      </c>
      <c r="P68" t="s">
        <v>379</v>
      </c>
      <c r="Q68" t="s">
        <v>379</v>
      </c>
      <c r="S68" t="s">
        <v>380</v>
      </c>
      <c r="T68">
        <v>7559</v>
      </c>
      <c r="U68" t="s">
        <v>381</v>
      </c>
      <c r="AA68" t="s">
        <v>5</v>
      </c>
      <c r="AC68">
        <v>1080</v>
      </c>
      <c r="AD68">
        <v>46221</v>
      </c>
      <c r="AE68">
        <v>46161</v>
      </c>
      <c r="AF68">
        <v>102</v>
      </c>
      <c r="AG68">
        <v>102</v>
      </c>
      <c r="AH68" t="s">
        <v>519</v>
      </c>
      <c r="AI68" t="b">
        <v>0</v>
      </c>
      <c r="AJ68" t="s">
        <v>527</v>
      </c>
      <c r="AK68" t="s">
        <v>384</v>
      </c>
      <c r="AL68" t="s">
        <v>385</v>
      </c>
      <c r="AM68" t="s">
        <v>385</v>
      </c>
      <c r="AN68" t="s">
        <v>384</v>
      </c>
      <c r="AO68" t="s">
        <v>384</v>
      </c>
      <c r="AP68" t="s">
        <v>384</v>
      </c>
      <c r="AQ68" t="s">
        <v>384</v>
      </c>
      <c r="AR68" t="s">
        <v>384</v>
      </c>
      <c r="AS68" t="s">
        <v>384</v>
      </c>
      <c r="AT68" t="s">
        <v>384</v>
      </c>
      <c r="AU68" t="s">
        <v>384</v>
      </c>
      <c r="AV68" t="s">
        <v>384</v>
      </c>
      <c r="AW68" t="s">
        <v>384</v>
      </c>
      <c r="AX68" t="s">
        <v>385</v>
      </c>
      <c r="AY68" t="s">
        <v>384</v>
      </c>
      <c r="AZ68" t="s">
        <v>384</v>
      </c>
      <c r="BA68" t="s">
        <v>385</v>
      </c>
      <c r="BB68" t="s">
        <v>384</v>
      </c>
      <c r="BC68" t="s">
        <v>384</v>
      </c>
      <c r="BD68" t="s">
        <v>384</v>
      </c>
      <c r="BI68" t="s">
        <v>389</v>
      </c>
    </row>
    <row r="69" spans="1:61" x14ac:dyDescent="0.2">
      <c r="A69">
        <v>0</v>
      </c>
      <c r="B69">
        <v>1102</v>
      </c>
      <c r="D69" t="s">
        <v>348</v>
      </c>
      <c r="E69" t="s">
        <v>528</v>
      </c>
      <c r="F69" t="s">
        <v>529</v>
      </c>
      <c r="G69" t="s">
        <v>378</v>
      </c>
      <c r="J69" t="s">
        <v>87</v>
      </c>
      <c r="K69" s="21">
        <v>46100</v>
      </c>
      <c r="L69" s="21">
        <v>46102</v>
      </c>
      <c r="P69" t="s">
        <v>379</v>
      </c>
      <c r="Q69" t="s">
        <v>379</v>
      </c>
      <c r="S69" t="s">
        <v>380</v>
      </c>
      <c r="T69">
        <v>7581</v>
      </c>
      <c r="U69" t="s">
        <v>381</v>
      </c>
      <c r="AA69" t="s">
        <v>5</v>
      </c>
      <c r="AC69">
        <v>1102</v>
      </c>
      <c r="AD69">
        <v>46221</v>
      </c>
      <c r="AE69">
        <v>46161</v>
      </c>
      <c r="AF69">
        <v>102</v>
      </c>
      <c r="AG69">
        <v>102</v>
      </c>
      <c r="AH69" t="s">
        <v>519</v>
      </c>
      <c r="AI69" t="b">
        <v>0</v>
      </c>
      <c r="AJ69" t="s">
        <v>530</v>
      </c>
      <c r="AK69" t="s">
        <v>384</v>
      </c>
      <c r="AL69" t="s">
        <v>385</v>
      </c>
      <c r="AM69" t="s">
        <v>385</v>
      </c>
      <c r="AN69" t="s">
        <v>384</v>
      </c>
      <c r="AO69" t="s">
        <v>384</v>
      </c>
      <c r="AP69" t="s">
        <v>384</v>
      </c>
      <c r="AQ69" t="s">
        <v>384</v>
      </c>
      <c r="AR69" t="s">
        <v>384</v>
      </c>
      <c r="AS69" t="s">
        <v>384</v>
      </c>
      <c r="AT69" t="s">
        <v>384</v>
      </c>
      <c r="AU69" t="s">
        <v>384</v>
      </c>
      <c r="AV69" t="s">
        <v>384</v>
      </c>
      <c r="AW69" t="s">
        <v>384</v>
      </c>
      <c r="AX69" t="s">
        <v>385</v>
      </c>
      <c r="AY69" t="s">
        <v>384</v>
      </c>
      <c r="AZ69" t="s">
        <v>384</v>
      </c>
      <c r="BA69" t="s">
        <v>385</v>
      </c>
      <c r="BB69" t="s">
        <v>384</v>
      </c>
      <c r="BC69" t="s">
        <v>384</v>
      </c>
      <c r="BD69" t="s">
        <v>384</v>
      </c>
      <c r="BI69" t="s">
        <v>528</v>
      </c>
    </row>
    <row r="70" spans="1:61" x14ac:dyDescent="0.2">
      <c r="A70">
        <v>0</v>
      </c>
      <c r="B70">
        <v>921</v>
      </c>
      <c r="D70" t="s">
        <v>348</v>
      </c>
      <c r="E70" t="s">
        <v>531</v>
      </c>
      <c r="F70" t="s">
        <v>416</v>
      </c>
      <c r="G70" t="s">
        <v>378</v>
      </c>
      <c r="J70" t="s">
        <v>87</v>
      </c>
      <c r="K70" s="21">
        <v>46101</v>
      </c>
      <c r="L70" s="21">
        <v>46101</v>
      </c>
      <c r="P70" t="s">
        <v>379</v>
      </c>
      <c r="Q70" t="s">
        <v>379</v>
      </c>
      <c r="T70">
        <v>5710</v>
      </c>
      <c r="U70" t="s">
        <v>381</v>
      </c>
      <c r="AA70" t="s">
        <v>5</v>
      </c>
      <c r="AC70">
        <v>921</v>
      </c>
      <c r="AD70">
        <v>46221</v>
      </c>
      <c r="AE70">
        <v>46161</v>
      </c>
      <c r="AF70">
        <v>102</v>
      </c>
      <c r="AG70">
        <v>102</v>
      </c>
      <c r="AH70" t="s">
        <v>519</v>
      </c>
      <c r="AI70" t="b">
        <v>0</v>
      </c>
      <c r="AJ70" t="s">
        <v>532</v>
      </c>
      <c r="AK70" t="s">
        <v>384</v>
      </c>
      <c r="AL70" t="s">
        <v>385</v>
      </c>
      <c r="AM70" t="s">
        <v>385</v>
      </c>
      <c r="AN70" t="s">
        <v>384</v>
      </c>
      <c r="AO70" t="s">
        <v>384</v>
      </c>
      <c r="AP70" t="s">
        <v>384</v>
      </c>
      <c r="AQ70" t="s">
        <v>384</v>
      </c>
      <c r="AR70" t="s">
        <v>384</v>
      </c>
      <c r="AS70" t="s">
        <v>384</v>
      </c>
      <c r="AT70" t="s">
        <v>384</v>
      </c>
      <c r="AU70" t="s">
        <v>384</v>
      </c>
      <c r="AV70" t="s">
        <v>384</v>
      </c>
      <c r="AW70" t="s">
        <v>384</v>
      </c>
      <c r="AX70" t="s">
        <v>385</v>
      </c>
      <c r="AY70" t="s">
        <v>384</v>
      </c>
      <c r="AZ70" t="s">
        <v>384</v>
      </c>
      <c r="BA70" t="s">
        <v>385</v>
      </c>
      <c r="BB70" t="s">
        <v>384</v>
      </c>
      <c r="BC70" t="s">
        <v>384</v>
      </c>
      <c r="BD70" t="s">
        <v>384</v>
      </c>
      <c r="BI70" t="s">
        <v>531</v>
      </c>
    </row>
    <row r="71" spans="1:61" x14ac:dyDescent="0.2">
      <c r="A71">
        <v>0</v>
      </c>
      <c r="B71">
        <v>940</v>
      </c>
      <c r="D71" t="s">
        <v>348</v>
      </c>
      <c r="E71" t="s">
        <v>418</v>
      </c>
      <c r="F71" t="s">
        <v>419</v>
      </c>
      <c r="G71" t="s">
        <v>378</v>
      </c>
      <c r="J71" t="s">
        <v>87</v>
      </c>
      <c r="K71" s="21">
        <v>46104</v>
      </c>
      <c r="L71" s="21">
        <v>46104</v>
      </c>
      <c r="P71" t="s">
        <v>379</v>
      </c>
      <c r="Q71" t="s">
        <v>379</v>
      </c>
      <c r="T71">
        <v>5730</v>
      </c>
      <c r="U71" t="s">
        <v>381</v>
      </c>
      <c r="AA71" t="s">
        <v>5</v>
      </c>
      <c r="AC71">
        <v>940</v>
      </c>
      <c r="AD71">
        <v>46221</v>
      </c>
      <c r="AE71">
        <v>46161</v>
      </c>
      <c r="AF71">
        <v>102</v>
      </c>
      <c r="AG71">
        <v>102</v>
      </c>
      <c r="AH71" t="s">
        <v>519</v>
      </c>
      <c r="AI71" t="b">
        <v>0</v>
      </c>
      <c r="AJ71" t="s">
        <v>533</v>
      </c>
      <c r="AK71" t="s">
        <v>384</v>
      </c>
      <c r="AL71" t="s">
        <v>385</v>
      </c>
      <c r="AM71" t="s">
        <v>385</v>
      </c>
      <c r="AN71" t="s">
        <v>384</v>
      </c>
      <c r="AO71" t="s">
        <v>384</v>
      </c>
      <c r="AP71" t="s">
        <v>384</v>
      </c>
      <c r="AQ71" t="s">
        <v>384</v>
      </c>
      <c r="AR71" t="s">
        <v>384</v>
      </c>
      <c r="AS71" t="s">
        <v>384</v>
      </c>
      <c r="AT71" t="s">
        <v>384</v>
      </c>
      <c r="AU71" t="s">
        <v>384</v>
      </c>
      <c r="AV71" t="s">
        <v>384</v>
      </c>
      <c r="AW71" t="s">
        <v>384</v>
      </c>
      <c r="AX71" t="s">
        <v>385</v>
      </c>
      <c r="AY71" t="s">
        <v>384</v>
      </c>
      <c r="AZ71" t="s">
        <v>384</v>
      </c>
      <c r="BA71" t="s">
        <v>385</v>
      </c>
      <c r="BB71" t="s">
        <v>384</v>
      </c>
      <c r="BC71" t="s">
        <v>384</v>
      </c>
      <c r="BD71" t="s">
        <v>384</v>
      </c>
      <c r="BI71" t="s">
        <v>418</v>
      </c>
    </row>
    <row r="72" spans="1:61" x14ac:dyDescent="0.2">
      <c r="A72">
        <v>0</v>
      </c>
      <c r="B72">
        <v>895</v>
      </c>
      <c r="D72" t="s">
        <v>348</v>
      </c>
      <c r="E72" t="s">
        <v>534</v>
      </c>
      <c r="F72" t="s">
        <v>535</v>
      </c>
      <c r="G72" t="s">
        <v>378</v>
      </c>
      <c r="J72" t="s">
        <v>87</v>
      </c>
      <c r="K72" s="21">
        <v>46107</v>
      </c>
      <c r="L72" s="21">
        <v>46109</v>
      </c>
      <c r="P72" t="s">
        <v>379</v>
      </c>
      <c r="Q72" t="s">
        <v>379</v>
      </c>
      <c r="T72">
        <v>5684</v>
      </c>
      <c r="U72" t="s">
        <v>381</v>
      </c>
      <c r="AA72" t="s">
        <v>5</v>
      </c>
      <c r="AC72">
        <v>895</v>
      </c>
      <c r="AD72">
        <v>46221</v>
      </c>
      <c r="AE72">
        <v>46161</v>
      </c>
      <c r="AF72">
        <v>102</v>
      </c>
      <c r="AG72">
        <v>102</v>
      </c>
      <c r="AH72" t="s">
        <v>519</v>
      </c>
      <c r="AI72" t="b">
        <v>0</v>
      </c>
      <c r="AJ72" t="s">
        <v>536</v>
      </c>
      <c r="AK72" t="s">
        <v>384</v>
      </c>
      <c r="AL72" t="s">
        <v>385</v>
      </c>
      <c r="AM72" t="s">
        <v>385</v>
      </c>
      <c r="AN72" t="s">
        <v>384</v>
      </c>
      <c r="AO72" t="s">
        <v>384</v>
      </c>
      <c r="AP72" t="s">
        <v>384</v>
      </c>
      <c r="AQ72" t="s">
        <v>384</v>
      </c>
      <c r="AR72" t="s">
        <v>384</v>
      </c>
      <c r="AS72" t="s">
        <v>384</v>
      </c>
      <c r="AT72" t="s">
        <v>384</v>
      </c>
      <c r="AU72" t="s">
        <v>384</v>
      </c>
      <c r="AV72" t="s">
        <v>384</v>
      </c>
      <c r="AW72" t="s">
        <v>384</v>
      </c>
      <c r="AX72" t="s">
        <v>385</v>
      </c>
      <c r="AY72" t="s">
        <v>384</v>
      </c>
      <c r="AZ72" t="s">
        <v>384</v>
      </c>
      <c r="BA72" t="s">
        <v>385</v>
      </c>
      <c r="BB72" t="s">
        <v>384</v>
      </c>
      <c r="BC72" t="s">
        <v>384</v>
      </c>
      <c r="BD72" t="s">
        <v>384</v>
      </c>
      <c r="BI72" t="s">
        <v>534</v>
      </c>
    </row>
    <row r="73" spans="1:61" x14ac:dyDescent="0.2">
      <c r="A73">
        <v>0</v>
      </c>
      <c r="B73">
        <v>1082</v>
      </c>
      <c r="D73" t="s">
        <v>348</v>
      </c>
      <c r="E73" t="s">
        <v>376</v>
      </c>
      <c r="F73" t="s">
        <v>377</v>
      </c>
      <c r="G73" t="s">
        <v>378</v>
      </c>
      <c r="J73" t="s">
        <v>87</v>
      </c>
      <c r="K73" s="21">
        <v>46108</v>
      </c>
      <c r="L73" s="21">
        <v>46109</v>
      </c>
      <c r="P73" t="s">
        <v>379</v>
      </c>
      <c r="Q73" t="s">
        <v>379</v>
      </c>
      <c r="S73" t="s">
        <v>380</v>
      </c>
      <c r="T73">
        <v>7561</v>
      </c>
      <c r="U73" t="s">
        <v>381</v>
      </c>
      <c r="AA73" t="s">
        <v>5</v>
      </c>
      <c r="AC73">
        <v>1082</v>
      </c>
      <c r="AD73">
        <v>46221</v>
      </c>
      <c r="AE73">
        <v>46161</v>
      </c>
      <c r="AF73">
        <v>102</v>
      </c>
      <c r="AG73">
        <v>102</v>
      </c>
      <c r="AH73" t="s">
        <v>519</v>
      </c>
      <c r="AI73" t="b">
        <v>0</v>
      </c>
      <c r="AJ73" t="s">
        <v>537</v>
      </c>
      <c r="AK73" t="s">
        <v>384</v>
      </c>
      <c r="AL73" t="s">
        <v>385</v>
      </c>
      <c r="AM73" t="s">
        <v>385</v>
      </c>
      <c r="AN73" t="s">
        <v>384</v>
      </c>
      <c r="AO73" t="s">
        <v>384</v>
      </c>
      <c r="AP73" t="s">
        <v>384</v>
      </c>
      <c r="AQ73" t="s">
        <v>384</v>
      </c>
      <c r="AR73" t="s">
        <v>384</v>
      </c>
      <c r="AS73" t="s">
        <v>384</v>
      </c>
      <c r="AT73" t="s">
        <v>384</v>
      </c>
      <c r="AU73" t="s">
        <v>384</v>
      </c>
      <c r="AV73" t="s">
        <v>384</v>
      </c>
      <c r="AW73" t="s">
        <v>384</v>
      </c>
      <c r="AX73" t="s">
        <v>385</v>
      </c>
      <c r="AY73" t="s">
        <v>384</v>
      </c>
      <c r="AZ73" t="s">
        <v>384</v>
      </c>
      <c r="BA73" t="s">
        <v>385</v>
      </c>
      <c r="BB73" t="s">
        <v>384</v>
      </c>
      <c r="BC73" t="s">
        <v>384</v>
      </c>
      <c r="BD73" t="s">
        <v>384</v>
      </c>
      <c r="BI73" t="s">
        <v>376</v>
      </c>
    </row>
    <row r="74" spans="1:61" x14ac:dyDescent="0.2">
      <c r="A74">
        <v>0</v>
      </c>
      <c r="B74">
        <v>1081</v>
      </c>
      <c r="D74" t="s">
        <v>348</v>
      </c>
      <c r="E74" t="s">
        <v>386</v>
      </c>
      <c r="F74" t="s">
        <v>538</v>
      </c>
      <c r="G74" t="s">
        <v>378</v>
      </c>
      <c r="J74" t="s">
        <v>87</v>
      </c>
      <c r="K74" s="21">
        <v>46108</v>
      </c>
      <c r="L74" s="21">
        <v>46108</v>
      </c>
      <c r="P74" t="s">
        <v>379</v>
      </c>
      <c r="Q74" t="s">
        <v>379</v>
      </c>
      <c r="S74" t="s">
        <v>380</v>
      </c>
      <c r="T74">
        <v>7560</v>
      </c>
      <c r="U74" t="s">
        <v>381</v>
      </c>
      <c r="AA74" t="s">
        <v>5</v>
      </c>
      <c r="AC74">
        <v>1081</v>
      </c>
      <c r="AD74">
        <v>46221</v>
      </c>
      <c r="AE74">
        <v>46161</v>
      </c>
      <c r="AF74">
        <v>102</v>
      </c>
      <c r="AG74">
        <v>102</v>
      </c>
      <c r="AH74" t="s">
        <v>519</v>
      </c>
      <c r="AI74" t="b">
        <v>0</v>
      </c>
      <c r="AJ74" t="s">
        <v>539</v>
      </c>
      <c r="AK74" t="s">
        <v>384</v>
      </c>
      <c r="AL74" t="s">
        <v>385</v>
      </c>
      <c r="AM74" t="s">
        <v>385</v>
      </c>
      <c r="AN74" t="s">
        <v>384</v>
      </c>
      <c r="AO74" t="s">
        <v>384</v>
      </c>
      <c r="AP74" t="s">
        <v>384</v>
      </c>
      <c r="AQ74" t="s">
        <v>384</v>
      </c>
      <c r="AR74" t="s">
        <v>384</v>
      </c>
      <c r="AS74" t="s">
        <v>384</v>
      </c>
      <c r="AT74" t="s">
        <v>384</v>
      </c>
      <c r="AU74" t="s">
        <v>384</v>
      </c>
      <c r="AV74" t="s">
        <v>384</v>
      </c>
      <c r="AW74" t="s">
        <v>384</v>
      </c>
      <c r="AX74" t="s">
        <v>385</v>
      </c>
      <c r="AY74" t="s">
        <v>384</v>
      </c>
      <c r="AZ74" t="s">
        <v>384</v>
      </c>
      <c r="BA74" t="s">
        <v>385</v>
      </c>
      <c r="BB74" t="s">
        <v>384</v>
      </c>
      <c r="BC74" t="s">
        <v>384</v>
      </c>
      <c r="BD74" t="s">
        <v>384</v>
      </c>
      <c r="BI74" t="s">
        <v>386</v>
      </c>
    </row>
    <row r="75" spans="1:61" x14ac:dyDescent="0.2">
      <c r="A75">
        <v>0</v>
      </c>
      <c r="B75">
        <v>920</v>
      </c>
      <c r="D75" t="s">
        <v>348</v>
      </c>
      <c r="E75" t="s">
        <v>314</v>
      </c>
      <c r="F75" t="s">
        <v>416</v>
      </c>
      <c r="G75" t="s">
        <v>378</v>
      </c>
      <c r="J75" t="s">
        <v>87</v>
      </c>
      <c r="K75" s="21">
        <v>46114</v>
      </c>
      <c r="L75" s="21">
        <v>46114</v>
      </c>
      <c r="P75" t="s">
        <v>379</v>
      </c>
      <c r="Q75" t="s">
        <v>379</v>
      </c>
      <c r="T75">
        <v>5709</v>
      </c>
      <c r="U75" t="s">
        <v>381</v>
      </c>
      <c r="AA75" t="s">
        <v>5</v>
      </c>
      <c r="AC75">
        <v>920</v>
      </c>
      <c r="AD75">
        <v>46221</v>
      </c>
      <c r="AE75">
        <v>46161</v>
      </c>
      <c r="AF75">
        <v>102</v>
      </c>
      <c r="AG75">
        <v>102</v>
      </c>
      <c r="AH75" t="s">
        <v>519</v>
      </c>
      <c r="AI75" t="b">
        <v>0</v>
      </c>
      <c r="AJ75" t="s">
        <v>540</v>
      </c>
      <c r="AK75" t="s">
        <v>384</v>
      </c>
      <c r="AL75" t="s">
        <v>385</v>
      </c>
      <c r="AM75" t="s">
        <v>385</v>
      </c>
      <c r="AN75" t="s">
        <v>384</v>
      </c>
      <c r="AO75" t="s">
        <v>384</v>
      </c>
      <c r="AP75" t="s">
        <v>384</v>
      </c>
      <c r="AQ75" t="s">
        <v>384</v>
      </c>
      <c r="AR75" t="s">
        <v>384</v>
      </c>
      <c r="AS75" t="s">
        <v>384</v>
      </c>
      <c r="AT75" t="s">
        <v>384</v>
      </c>
      <c r="AU75" t="s">
        <v>384</v>
      </c>
      <c r="AV75" t="s">
        <v>384</v>
      </c>
      <c r="AW75" t="s">
        <v>384</v>
      </c>
      <c r="AX75" t="s">
        <v>385</v>
      </c>
      <c r="AY75" t="s">
        <v>384</v>
      </c>
      <c r="AZ75" t="s">
        <v>384</v>
      </c>
      <c r="BA75" t="s">
        <v>385</v>
      </c>
      <c r="BB75" t="s">
        <v>384</v>
      </c>
      <c r="BC75" t="s">
        <v>384</v>
      </c>
      <c r="BD75" t="s">
        <v>384</v>
      </c>
      <c r="BI75" t="s">
        <v>314</v>
      </c>
    </row>
    <row r="76" spans="1:61" x14ac:dyDescent="0.2">
      <c r="A76">
        <v>0</v>
      </c>
      <c r="B76">
        <v>888</v>
      </c>
      <c r="D76" t="s">
        <v>348</v>
      </c>
      <c r="E76" t="s">
        <v>160</v>
      </c>
      <c r="F76" t="s">
        <v>416</v>
      </c>
      <c r="G76" t="s">
        <v>378</v>
      </c>
      <c r="J76" t="s">
        <v>87</v>
      </c>
      <c r="K76" s="21">
        <v>46114</v>
      </c>
      <c r="L76" s="21">
        <v>46117</v>
      </c>
      <c r="P76" t="s">
        <v>379</v>
      </c>
      <c r="Q76" t="s">
        <v>379</v>
      </c>
      <c r="T76">
        <v>5675</v>
      </c>
      <c r="U76" t="s">
        <v>381</v>
      </c>
      <c r="AA76" t="s">
        <v>5</v>
      </c>
      <c r="AC76">
        <v>888</v>
      </c>
      <c r="AD76">
        <v>46221</v>
      </c>
      <c r="AE76">
        <v>46161</v>
      </c>
      <c r="AF76">
        <v>102</v>
      </c>
      <c r="AG76">
        <v>102</v>
      </c>
      <c r="AH76" t="s">
        <v>519</v>
      </c>
      <c r="AI76" t="b">
        <v>0</v>
      </c>
      <c r="AJ76" t="s">
        <v>541</v>
      </c>
      <c r="AK76" t="s">
        <v>384</v>
      </c>
      <c r="AL76" t="s">
        <v>385</v>
      </c>
      <c r="AM76" t="s">
        <v>385</v>
      </c>
      <c r="AN76" t="s">
        <v>384</v>
      </c>
      <c r="AO76" t="s">
        <v>384</v>
      </c>
      <c r="AP76" t="s">
        <v>384</v>
      </c>
      <c r="AQ76" t="s">
        <v>384</v>
      </c>
      <c r="AR76" t="s">
        <v>384</v>
      </c>
      <c r="AS76" t="s">
        <v>384</v>
      </c>
      <c r="AT76" t="s">
        <v>384</v>
      </c>
      <c r="AU76" t="s">
        <v>384</v>
      </c>
      <c r="AV76" t="s">
        <v>384</v>
      </c>
      <c r="AW76" t="s">
        <v>384</v>
      </c>
      <c r="AX76" t="s">
        <v>385</v>
      </c>
      <c r="AY76" t="s">
        <v>384</v>
      </c>
      <c r="AZ76" t="s">
        <v>384</v>
      </c>
      <c r="BA76" t="s">
        <v>385</v>
      </c>
      <c r="BB76" t="s">
        <v>384</v>
      </c>
      <c r="BC76" t="s">
        <v>384</v>
      </c>
      <c r="BD76" t="s">
        <v>384</v>
      </c>
      <c r="BI76" t="s">
        <v>160</v>
      </c>
    </row>
    <row r="77" spans="1:61" x14ac:dyDescent="0.2">
      <c r="A77">
        <v>0</v>
      </c>
      <c r="B77">
        <v>918</v>
      </c>
      <c r="D77" t="s">
        <v>348</v>
      </c>
      <c r="E77" t="s">
        <v>542</v>
      </c>
      <c r="F77" t="s">
        <v>416</v>
      </c>
      <c r="G77" t="s">
        <v>378</v>
      </c>
      <c r="J77" t="s">
        <v>87</v>
      </c>
      <c r="K77" s="21">
        <v>46115</v>
      </c>
      <c r="L77" s="21">
        <v>46115</v>
      </c>
      <c r="P77" t="s">
        <v>379</v>
      </c>
      <c r="Q77" t="s">
        <v>379</v>
      </c>
      <c r="T77">
        <v>5707</v>
      </c>
      <c r="U77" t="s">
        <v>381</v>
      </c>
      <c r="AA77" t="s">
        <v>5</v>
      </c>
      <c r="AC77">
        <v>918</v>
      </c>
      <c r="AD77">
        <v>46221</v>
      </c>
      <c r="AE77">
        <v>46161</v>
      </c>
      <c r="AF77">
        <v>102</v>
      </c>
      <c r="AG77">
        <v>102</v>
      </c>
      <c r="AH77" t="s">
        <v>519</v>
      </c>
      <c r="AI77" t="b">
        <v>0</v>
      </c>
      <c r="AJ77" t="s">
        <v>543</v>
      </c>
      <c r="AK77" t="s">
        <v>384</v>
      </c>
      <c r="AL77" t="s">
        <v>385</v>
      </c>
      <c r="AM77" t="s">
        <v>385</v>
      </c>
      <c r="AN77" t="s">
        <v>384</v>
      </c>
      <c r="AO77" t="s">
        <v>384</v>
      </c>
      <c r="AP77" t="s">
        <v>384</v>
      </c>
      <c r="AQ77" t="s">
        <v>384</v>
      </c>
      <c r="AR77" t="s">
        <v>384</v>
      </c>
      <c r="AS77" t="s">
        <v>384</v>
      </c>
      <c r="AT77" t="s">
        <v>384</v>
      </c>
      <c r="AU77" t="s">
        <v>384</v>
      </c>
      <c r="AV77" t="s">
        <v>384</v>
      </c>
      <c r="AW77" t="s">
        <v>384</v>
      </c>
      <c r="AX77" t="s">
        <v>385</v>
      </c>
      <c r="AY77" t="s">
        <v>384</v>
      </c>
      <c r="AZ77" t="s">
        <v>384</v>
      </c>
      <c r="BA77" t="s">
        <v>385</v>
      </c>
      <c r="BB77" t="s">
        <v>384</v>
      </c>
      <c r="BC77" t="s">
        <v>384</v>
      </c>
      <c r="BD77" t="s">
        <v>384</v>
      </c>
      <c r="BI77" t="s">
        <v>542</v>
      </c>
    </row>
    <row r="78" spans="1:61" x14ac:dyDescent="0.2">
      <c r="E78" t="s">
        <v>86</v>
      </c>
      <c r="J78" t="s">
        <v>87</v>
      </c>
      <c r="K78" s="21">
        <v>46115</v>
      </c>
      <c r="L78" s="21">
        <v>46131</v>
      </c>
      <c r="AA78" t="s">
        <v>88</v>
      </c>
      <c r="BI78" t="s">
        <v>86</v>
      </c>
    </row>
    <row r="79" spans="1:61" x14ac:dyDescent="0.2">
      <c r="A79">
        <v>0</v>
      </c>
      <c r="B79">
        <v>919</v>
      </c>
      <c r="D79" t="s">
        <v>348</v>
      </c>
      <c r="E79" t="s">
        <v>318</v>
      </c>
      <c r="F79" t="s">
        <v>416</v>
      </c>
      <c r="G79" t="s">
        <v>378</v>
      </c>
      <c r="J79" t="s">
        <v>87</v>
      </c>
      <c r="K79" s="21">
        <v>46116</v>
      </c>
      <c r="L79" s="21">
        <v>46116</v>
      </c>
      <c r="P79" t="s">
        <v>379</v>
      </c>
      <c r="Q79" t="s">
        <v>379</v>
      </c>
      <c r="T79">
        <v>5708</v>
      </c>
      <c r="U79" t="s">
        <v>381</v>
      </c>
      <c r="AA79" t="s">
        <v>5</v>
      </c>
      <c r="AC79">
        <v>919</v>
      </c>
      <c r="AD79">
        <v>46221</v>
      </c>
      <c r="AE79">
        <v>46161</v>
      </c>
      <c r="AF79">
        <v>102</v>
      </c>
      <c r="AG79">
        <v>102</v>
      </c>
      <c r="AH79" t="s">
        <v>519</v>
      </c>
      <c r="AI79" t="b">
        <v>0</v>
      </c>
      <c r="AJ79" t="s">
        <v>544</v>
      </c>
      <c r="AK79" t="s">
        <v>384</v>
      </c>
      <c r="AL79" t="s">
        <v>385</v>
      </c>
      <c r="AM79" t="s">
        <v>385</v>
      </c>
      <c r="AN79" t="s">
        <v>384</v>
      </c>
      <c r="AO79" t="s">
        <v>384</v>
      </c>
      <c r="AP79" t="s">
        <v>384</v>
      </c>
      <c r="AQ79" t="s">
        <v>384</v>
      </c>
      <c r="AR79" t="s">
        <v>384</v>
      </c>
      <c r="AS79" t="s">
        <v>384</v>
      </c>
      <c r="AT79" t="s">
        <v>384</v>
      </c>
      <c r="AU79" t="s">
        <v>384</v>
      </c>
      <c r="AV79" t="s">
        <v>384</v>
      </c>
      <c r="AW79" t="s">
        <v>384</v>
      </c>
      <c r="AX79" t="s">
        <v>385</v>
      </c>
      <c r="AY79" t="s">
        <v>384</v>
      </c>
      <c r="AZ79" t="s">
        <v>384</v>
      </c>
      <c r="BA79" t="s">
        <v>385</v>
      </c>
      <c r="BB79" t="s">
        <v>384</v>
      </c>
      <c r="BC79" t="s">
        <v>384</v>
      </c>
      <c r="BD79" t="s">
        <v>384</v>
      </c>
      <c r="BI79" t="s">
        <v>318</v>
      </c>
    </row>
    <row r="80" spans="1:61" x14ac:dyDescent="0.2">
      <c r="A80">
        <v>0</v>
      </c>
      <c r="B80">
        <v>917</v>
      </c>
      <c r="D80" t="s">
        <v>348</v>
      </c>
      <c r="E80" t="s">
        <v>320</v>
      </c>
      <c r="F80" t="s">
        <v>416</v>
      </c>
      <c r="G80" t="s">
        <v>378</v>
      </c>
      <c r="J80" t="s">
        <v>87</v>
      </c>
      <c r="K80" s="21">
        <v>46117</v>
      </c>
      <c r="L80" s="21">
        <v>46117</v>
      </c>
      <c r="P80" t="s">
        <v>379</v>
      </c>
      <c r="Q80" t="s">
        <v>379</v>
      </c>
      <c r="T80">
        <v>5706</v>
      </c>
      <c r="U80" t="s">
        <v>381</v>
      </c>
      <c r="AA80" t="s">
        <v>5</v>
      </c>
      <c r="AC80">
        <v>917</v>
      </c>
      <c r="AD80">
        <v>46221</v>
      </c>
      <c r="AE80">
        <v>46161</v>
      </c>
      <c r="AF80">
        <v>102</v>
      </c>
      <c r="AG80">
        <v>102</v>
      </c>
      <c r="AH80" t="s">
        <v>519</v>
      </c>
      <c r="AI80" t="b">
        <v>0</v>
      </c>
      <c r="AJ80" t="s">
        <v>545</v>
      </c>
      <c r="AK80" t="s">
        <v>384</v>
      </c>
      <c r="AL80" t="s">
        <v>385</v>
      </c>
      <c r="AM80" t="s">
        <v>385</v>
      </c>
      <c r="AN80" t="s">
        <v>384</v>
      </c>
      <c r="AO80" t="s">
        <v>384</v>
      </c>
      <c r="AP80" t="s">
        <v>384</v>
      </c>
      <c r="AQ80" t="s">
        <v>384</v>
      </c>
      <c r="AR80" t="s">
        <v>384</v>
      </c>
      <c r="AS80" t="s">
        <v>384</v>
      </c>
      <c r="AT80" t="s">
        <v>384</v>
      </c>
      <c r="AU80" t="s">
        <v>384</v>
      </c>
      <c r="AV80" t="s">
        <v>384</v>
      </c>
      <c r="AW80" t="s">
        <v>384</v>
      </c>
      <c r="AX80" t="s">
        <v>385</v>
      </c>
      <c r="AY80" t="s">
        <v>384</v>
      </c>
      <c r="AZ80" t="s">
        <v>384</v>
      </c>
      <c r="BA80" t="s">
        <v>385</v>
      </c>
      <c r="BB80" t="s">
        <v>384</v>
      </c>
      <c r="BC80" t="s">
        <v>384</v>
      </c>
      <c r="BD80" t="s">
        <v>384</v>
      </c>
      <c r="BI80" t="s">
        <v>320</v>
      </c>
    </row>
    <row r="81" spans="1:61" x14ac:dyDescent="0.2">
      <c r="A81">
        <v>0</v>
      </c>
      <c r="B81">
        <v>878</v>
      </c>
      <c r="D81" t="s">
        <v>348</v>
      </c>
      <c r="E81" t="s">
        <v>546</v>
      </c>
      <c r="G81" t="s">
        <v>378</v>
      </c>
      <c r="J81" t="s">
        <v>87</v>
      </c>
      <c r="K81" s="21">
        <v>46120</v>
      </c>
      <c r="L81" s="21">
        <v>46124</v>
      </c>
      <c r="P81" t="s">
        <v>379</v>
      </c>
      <c r="Q81" t="s">
        <v>379</v>
      </c>
      <c r="T81">
        <v>5665</v>
      </c>
      <c r="U81" t="s">
        <v>381</v>
      </c>
      <c r="AA81" t="s">
        <v>5</v>
      </c>
      <c r="AC81">
        <v>878</v>
      </c>
      <c r="AD81">
        <v>46221</v>
      </c>
      <c r="AE81">
        <v>46161</v>
      </c>
      <c r="AF81">
        <v>102</v>
      </c>
      <c r="AG81">
        <v>102</v>
      </c>
      <c r="AH81" t="s">
        <v>519</v>
      </c>
      <c r="AI81" t="b">
        <v>0</v>
      </c>
      <c r="AJ81" t="s">
        <v>547</v>
      </c>
      <c r="AK81" t="s">
        <v>384</v>
      </c>
      <c r="AL81" t="s">
        <v>385</v>
      </c>
      <c r="AM81" t="s">
        <v>385</v>
      </c>
      <c r="AN81" t="s">
        <v>384</v>
      </c>
      <c r="AO81" t="s">
        <v>384</v>
      </c>
      <c r="AP81" t="s">
        <v>384</v>
      </c>
      <c r="AQ81" t="s">
        <v>384</v>
      </c>
      <c r="AR81" t="s">
        <v>384</v>
      </c>
      <c r="AS81" t="s">
        <v>384</v>
      </c>
      <c r="AT81" t="s">
        <v>384</v>
      </c>
      <c r="AU81" t="s">
        <v>384</v>
      </c>
      <c r="AV81" t="s">
        <v>384</v>
      </c>
      <c r="AW81" t="s">
        <v>384</v>
      </c>
      <c r="AX81" t="s">
        <v>385</v>
      </c>
      <c r="AY81" t="s">
        <v>384</v>
      </c>
      <c r="AZ81" t="s">
        <v>384</v>
      </c>
      <c r="BA81" t="s">
        <v>385</v>
      </c>
      <c r="BB81" t="s">
        <v>384</v>
      </c>
      <c r="BC81" t="s">
        <v>384</v>
      </c>
      <c r="BD81" t="s">
        <v>384</v>
      </c>
      <c r="BI81" t="s">
        <v>546</v>
      </c>
    </row>
    <row r="82" spans="1:61" x14ac:dyDescent="0.2">
      <c r="A82">
        <v>0</v>
      </c>
      <c r="B82">
        <v>1083</v>
      </c>
      <c r="D82" t="s">
        <v>348</v>
      </c>
      <c r="E82" t="s">
        <v>548</v>
      </c>
      <c r="F82" t="s">
        <v>549</v>
      </c>
      <c r="G82" t="s">
        <v>378</v>
      </c>
      <c r="J82" t="s">
        <v>87</v>
      </c>
      <c r="K82" s="21">
        <v>46121</v>
      </c>
      <c r="L82" s="21">
        <v>46123</v>
      </c>
      <c r="P82" t="s">
        <v>379</v>
      </c>
      <c r="Q82" t="s">
        <v>379</v>
      </c>
      <c r="S82" t="s">
        <v>380</v>
      </c>
      <c r="T82">
        <v>7562</v>
      </c>
      <c r="U82" t="s">
        <v>381</v>
      </c>
      <c r="AA82" t="s">
        <v>5</v>
      </c>
      <c r="AC82">
        <v>1083</v>
      </c>
      <c r="AD82">
        <v>46221</v>
      </c>
      <c r="AE82">
        <v>46161</v>
      </c>
      <c r="AF82">
        <v>102</v>
      </c>
      <c r="AG82">
        <v>102</v>
      </c>
      <c r="AH82" t="s">
        <v>519</v>
      </c>
      <c r="AI82" t="b">
        <v>0</v>
      </c>
      <c r="AJ82" t="s">
        <v>550</v>
      </c>
      <c r="AK82" t="s">
        <v>384</v>
      </c>
      <c r="AL82" t="s">
        <v>385</v>
      </c>
      <c r="AM82" t="s">
        <v>385</v>
      </c>
      <c r="AN82" t="s">
        <v>384</v>
      </c>
      <c r="AO82" t="s">
        <v>384</v>
      </c>
      <c r="AP82" t="s">
        <v>384</v>
      </c>
      <c r="AQ82" t="s">
        <v>384</v>
      </c>
      <c r="AR82" t="s">
        <v>384</v>
      </c>
      <c r="AS82" t="s">
        <v>384</v>
      </c>
      <c r="AT82" t="s">
        <v>384</v>
      </c>
      <c r="AU82" t="s">
        <v>384</v>
      </c>
      <c r="AV82" t="s">
        <v>384</v>
      </c>
      <c r="AW82" t="s">
        <v>384</v>
      </c>
      <c r="AX82" t="s">
        <v>385</v>
      </c>
      <c r="AY82" t="s">
        <v>384</v>
      </c>
      <c r="AZ82" t="s">
        <v>384</v>
      </c>
      <c r="BA82" t="s">
        <v>385</v>
      </c>
      <c r="BB82" t="s">
        <v>384</v>
      </c>
      <c r="BC82" t="s">
        <v>384</v>
      </c>
      <c r="BD82" t="s">
        <v>384</v>
      </c>
      <c r="BI82" t="s">
        <v>548</v>
      </c>
    </row>
    <row r="83" spans="1:61" x14ac:dyDescent="0.2">
      <c r="A83">
        <v>0</v>
      </c>
      <c r="B83">
        <v>1034</v>
      </c>
      <c r="D83" t="s">
        <v>348</v>
      </c>
      <c r="E83" t="s">
        <v>424</v>
      </c>
      <c r="F83" t="s">
        <v>551</v>
      </c>
      <c r="G83" t="s">
        <v>378</v>
      </c>
      <c r="J83" t="s">
        <v>87</v>
      </c>
      <c r="K83" s="21">
        <v>46122</v>
      </c>
      <c r="L83" s="21">
        <v>46122</v>
      </c>
      <c r="P83" t="s">
        <v>379</v>
      </c>
      <c r="Q83" t="s">
        <v>379</v>
      </c>
      <c r="T83">
        <v>7257</v>
      </c>
      <c r="U83" t="s">
        <v>381</v>
      </c>
      <c r="AA83" t="s">
        <v>5</v>
      </c>
      <c r="AC83">
        <v>1034</v>
      </c>
      <c r="AD83">
        <v>46221</v>
      </c>
      <c r="AE83">
        <v>46161</v>
      </c>
      <c r="AF83">
        <v>102</v>
      </c>
      <c r="AG83">
        <v>102</v>
      </c>
      <c r="AH83" t="s">
        <v>519</v>
      </c>
      <c r="AI83" t="b">
        <v>0</v>
      </c>
      <c r="AJ83" t="s">
        <v>552</v>
      </c>
      <c r="AK83" t="s">
        <v>384</v>
      </c>
      <c r="AL83" t="s">
        <v>385</v>
      </c>
      <c r="AM83" t="s">
        <v>385</v>
      </c>
      <c r="AN83" t="s">
        <v>384</v>
      </c>
      <c r="AO83" t="s">
        <v>384</v>
      </c>
      <c r="AP83" t="s">
        <v>384</v>
      </c>
      <c r="AQ83" t="s">
        <v>384</v>
      </c>
      <c r="AR83" t="s">
        <v>384</v>
      </c>
      <c r="AS83" t="s">
        <v>384</v>
      </c>
      <c r="AT83" t="s">
        <v>384</v>
      </c>
      <c r="AU83" t="s">
        <v>384</v>
      </c>
      <c r="AV83" t="s">
        <v>384</v>
      </c>
      <c r="AW83" t="s">
        <v>384</v>
      </c>
      <c r="AX83" t="s">
        <v>385</v>
      </c>
      <c r="AY83" t="s">
        <v>384</v>
      </c>
      <c r="AZ83" t="s">
        <v>384</v>
      </c>
      <c r="BA83" t="s">
        <v>385</v>
      </c>
      <c r="BB83" t="s">
        <v>384</v>
      </c>
      <c r="BC83" t="s">
        <v>384</v>
      </c>
      <c r="BD83" t="s">
        <v>384</v>
      </c>
      <c r="BI83" t="s">
        <v>424</v>
      </c>
    </row>
    <row r="84" spans="1:61" x14ac:dyDescent="0.2">
      <c r="A84">
        <v>0</v>
      </c>
      <c r="B84">
        <v>1057</v>
      </c>
      <c r="D84" t="s">
        <v>348</v>
      </c>
      <c r="E84" t="s">
        <v>424</v>
      </c>
      <c r="F84" t="s">
        <v>551</v>
      </c>
      <c r="G84" t="s">
        <v>378</v>
      </c>
      <c r="J84" t="s">
        <v>87</v>
      </c>
      <c r="K84" s="21">
        <v>46122</v>
      </c>
      <c r="L84" s="21">
        <v>46122</v>
      </c>
      <c r="P84" t="s">
        <v>379</v>
      </c>
      <c r="Q84" t="s">
        <v>379</v>
      </c>
      <c r="S84" t="s">
        <v>380</v>
      </c>
      <c r="T84">
        <v>7400</v>
      </c>
      <c r="U84" t="s">
        <v>381</v>
      </c>
      <c r="AA84" t="s">
        <v>5</v>
      </c>
      <c r="AC84">
        <v>1057</v>
      </c>
      <c r="AD84">
        <v>46221</v>
      </c>
      <c r="AE84">
        <v>46161</v>
      </c>
      <c r="AF84">
        <v>102</v>
      </c>
      <c r="AG84">
        <v>102</v>
      </c>
      <c r="AH84" t="s">
        <v>519</v>
      </c>
      <c r="AI84" t="b">
        <v>0</v>
      </c>
      <c r="AJ84" t="s">
        <v>553</v>
      </c>
      <c r="AK84" t="s">
        <v>384</v>
      </c>
      <c r="AL84" t="s">
        <v>385</v>
      </c>
      <c r="AM84" t="s">
        <v>385</v>
      </c>
      <c r="AN84" t="s">
        <v>384</v>
      </c>
      <c r="AO84" t="s">
        <v>384</v>
      </c>
      <c r="AP84" t="s">
        <v>384</v>
      </c>
      <c r="AQ84" t="s">
        <v>384</v>
      </c>
      <c r="AR84" t="s">
        <v>384</v>
      </c>
      <c r="AS84" t="s">
        <v>384</v>
      </c>
      <c r="AT84" t="s">
        <v>384</v>
      </c>
      <c r="AU84" t="s">
        <v>384</v>
      </c>
      <c r="AV84" t="s">
        <v>384</v>
      </c>
      <c r="AW84" t="s">
        <v>384</v>
      </c>
      <c r="AX84" t="s">
        <v>385</v>
      </c>
      <c r="AY84" t="s">
        <v>384</v>
      </c>
      <c r="AZ84" t="s">
        <v>384</v>
      </c>
      <c r="BA84" t="s">
        <v>385</v>
      </c>
      <c r="BB84" t="s">
        <v>384</v>
      </c>
      <c r="BC84" t="s">
        <v>384</v>
      </c>
      <c r="BD84" t="s">
        <v>384</v>
      </c>
      <c r="BI84" t="s">
        <v>424</v>
      </c>
    </row>
    <row r="85" spans="1:61" x14ac:dyDescent="0.2">
      <c r="A85">
        <v>0</v>
      </c>
      <c r="B85">
        <v>964</v>
      </c>
      <c r="D85" t="s">
        <v>348</v>
      </c>
      <c r="E85" t="s">
        <v>412</v>
      </c>
      <c r="F85" t="s">
        <v>406</v>
      </c>
      <c r="G85" t="s">
        <v>378</v>
      </c>
      <c r="J85" t="s">
        <v>87</v>
      </c>
      <c r="K85" s="21">
        <v>46126</v>
      </c>
      <c r="L85" s="21">
        <v>46126</v>
      </c>
      <c r="P85" t="s">
        <v>379</v>
      </c>
      <c r="Q85" t="s">
        <v>379</v>
      </c>
      <c r="S85" t="s">
        <v>129</v>
      </c>
      <c r="T85">
        <v>5754</v>
      </c>
      <c r="U85" t="s">
        <v>381</v>
      </c>
      <c r="Z85" t="s">
        <v>413</v>
      </c>
      <c r="AA85" t="s">
        <v>5</v>
      </c>
      <c r="AC85">
        <v>964</v>
      </c>
      <c r="AD85">
        <v>46221</v>
      </c>
      <c r="AE85">
        <v>46161</v>
      </c>
      <c r="AF85">
        <v>102</v>
      </c>
      <c r="AG85">
        <v>102</v>
      </c>
      <c r="AH85" t="s">
        <v>382</v>
      </c>
      <c r="AI85" t="b">
        <v>0</v>
      </c>
      <c r="AJ85" t="s">
        <v>554</v>
      </c>
      <c r="AK85" t="s">
        <v>384</v>
      </c>
      <c r="AL85" t="s">
        <v>385</v>
      </c>
      <c r="AM85" t="s">
        <v>385</v>
      </c>
      <c r="AN85" t="s">
        <v>384</v>
      </c>
      <c r="AO85" t="s">
        <v>384</v>
      </c>
      <c r="AP85" t="s">
        <v>384</v>
      </c>
      <c r="AQ85" t="s">
        <v>384</v>
      </c>
      <c r="AR85" t="s">
        <v>384</v>
      </c>
      <c r="AS85" t="s">
        <v>384</v>
      </c>
      <c r="AT85" t="s">
        <v>384</v>
      </c>
      <c r="AU85" t="s">
        <v>384</v>
      </c>
      <c r="AV85" t="s">
        <v>384</v>
      </c>
      <c r="AW85" t="s">
        <v>384</v>
      </c>
      <c r="AX85" t="s">
        <v>385</v>
      </c>
      <c r="AY85" t="s">
        <v>384</v>
      </c>
      <c r="AZ85" t="s">
        <v>384</v>
      </c>
      <c r="BA85" t="s">
        <v>385</v>
      </c>
      <c r="BB85" t="s">
        <v>384</v>
      </c>
      <c r="BC85" t="s">
        <v>384</v>
      </c>
      <c r="BD85" t="s">
        <v>384</v>
      </c>
      <c r="BI85" t="s">
        <v>412</v>
      </c>
    </row>
    <row r="86" spans="1:61" x14ac:dyDescent="0.2">
      <c r="A86">
        <v>0</v>
      </c>
      <c r="B86">
        <v>982</v>
      </c>
      <c r="D86" t="s">
        <v>348</v>
      </c>
      <c r="E86" t="s">
        <v>442</v>
      </c>
      <c r="F86" t="s">
        <v>406</v>
      </c>
      <c r="G86" t="s">
        <v>378</v>
      </c>
      <c r="J86" t="s">
        <v>87</v>
      </c>
      <c r="K86" s="21">
        <v>46126</v>
      </c>
      <c r="L86" s="21">
        <v>46126</v>
      </c>
      <c r="P86" t="s">
        <v>379</v>
      </c>
      <c r="Q86" t="s">
        <v>379</v>
      </c>
      <c r="T86">
        <v>5772</v>
      </c>
      <c r="U86" t="s">
        <v>381</v>
      </c>
      <c r="AA86" t="s">
        <v>5</v>
      </c>
      <c r="AC86">
        <v>982</v>
      </c>
      <c r="AD86">
        <v>46221</v>
      </c>
      <c r="AE86">
        <v>46161</v>
      </c>
      <c r="AF86">
        <v>102</v>
      </c>
      <c r="AG86">
        <v>102</v>
      </c>
      <c r="AH86" t="s">
        <v>519</v>
      </c>
      <c r="AI86" t="b">
        <v>0</v>
      </c>
      <c r="AJ86" t="s">
        <v>555</v>
      </c>
      <c r="AK86" t="s">
        <v>384</v>
      </c>
      <c r="AL86" t="s">
        <v>385</v>
      </c>
      <c r="AM86" t="s">
        <v>385</v>
      </c>
      <c r="AN86" t="s">
        <v>384</v>
      </c>
      <c r="AO86" t="s">
        <v>384</v>
      </c>
      <c r="AP86" t="s">
        <v>384</v>
      </c>
      <c r="AQ86" t="s">
        <v>384</v>
      </c>
      <c r="AR86" t="s">
        <v>384</v>
      </c>
      <c r="AS86" t="s">
        <v>384</v>
      </c>
      <c r="AT86" t="s">
        <v>384</v>
      </c>
      <c r="AU86" t="s">
        <v>384</v>
      </c>
      <c r="AV86" t="s">
        <v>384</v>
      </c>
      <c r="AW86" t="s">
        <v>384</v>
      </c>
      <c r="AX86" t="s">
        <v>385</v>
      </c>
      <c r="AY86" t="s">
        <v>384</v>
      </c>
      <c r="AZ86" t="s">
        <v>384</v>
      </c>
      <c r="BA86" t="s">
        <v>385</v>
      </c>
      <c r="BB86" t="s">
        <v>384</v>
      </c>
      <c r="BC86" t="s">
        <v>384</v>
      </c>
      <c r="BD86" t="s">
        <v>384</v>
      </c>
      <c r="BI86" t="s">
        <v>442</v>
      </c>
    </row>
    <row r="87" spans="1:61" x14ac:dyDescent="0.2">
      <c r="A87">
        <v>0</v>
      </c>
      <c r="B87">
        <v>930</v>
      </c>
      <c r="D87" t="s">
        <v>348</v>
      </c>
      <c r="E87" t="s">
        <v>445</v>
      </c>
      <c r="F87" t="s">
        <v>406</v>
      </c>
      <c r="G87" t="s">
        <v>378</v>
      </c>
      <c r="J87" t="s">
        <v>87</v>
      </c>
      <c r="K87" s="21">
        <v>46127</v>
      </c>
      <c r="L87" s="21">
        <v>46127</v>
      </c>
      <c r="P87" t="s">
        <v>379</v>
      </c>
      <c r="Q87" t="s">
        <v>379</v>
      </c>
      <c r="S87" t="s">
        <v>132</v>
      </c>
      <c r="T87">
        <v>5720</v>
      </c>
      <c r="U87" t="s">
        <v>381</v>
      </c>
      <c r="AA87" t="s">
        <v>5</v>
      </c>
      <c r="AC87">
        <v>930</v>
      </c>
      <c r="AD87">
        <v>46221</v>
      </c>
      <c r="AE87">
        <v>46161</v>
      </c>
      <c r="AF87">
        <v>102</v>
      </c>
      <c r="AG87">
        <v>102</v>
      </c>
      <c r="AH87" t="s">
        <v>519</v>
      </c>
      <c r="AI87" t="b">
        <v>0</v>
      </c>
      <c r="AJ87" t="s">
        <v>556</v>
      </c>
      <c r="AK87" t="s">
        <v>384</v>
      </c>
      <c r="AL87" t="s">
        <v>385</v>
      </c>
      <c r="AM87" t="s">
        <v>385</v>
      </c>
      <c r="AN87" t="s">
        <v>384</v>
      </c>
      <c r="AO87" t="s">
        <v>384</v>
      </c>
      <c r="AP87" t="s">
        <v>384</v>
      </c>
      <c r="AQ87" t="s">
        <v>384</v>
      </c>
      <c r="AR87" t="s">
        <v>384</v>
      </c>
      <c r="AS87" t="s">
        <v>384</v>
      </c>
      <c r="AT87" t="s">
        <v>384</v>
      </c>
      <c r="AU87" t="s">
        <v>384</v>
      </c>
      <c r="AV87" t="s">
        <v>384</v>
      </c>
      <c r="AW87" t="s">
        <v>384</v>
      </c>
      <c r="AX87" t="s">
        <v>385</v>
      </c>
      <c r="AY87" t="s">
        <v>384</v>
      </c>
      <c r="AZ87" t="s">
        <v>384</v>
      </c>
      <c r="BA87" t="s">
        <v>385</v>
      </c>
      <c r="BB87" t="s">
        <v>384</v>
      </c>
      <c r="BC87" t="s">
        <v>384</v>
      </c>
      <c r="BD87" t="s">
        <v>384</v>
      </c>
      <c r="BI87" t="s">
        <v>445</v>
      </c>
    </row>
    <row r="88" spans="1:61" x14ac:dyDescent="0.2">
      <c r="A88">
        <v>0</v>
      </c>
      <c r="B88">
        <v>994</v>
      </c>
      <c r="D88" t="s">
        <v>348</v>
      </c>
      <c r="E88" t="s">
        <v>405</v>
      </c>
      <c r="F88" t="s">
        <v>406</v>
      </c>
      <c r="G88" t="s">
        <v>378</v>
      </c>
      <c r="J88" t="s">
        <v>87</v>
      </c>
      <c r="K88" s="21">
        <v>46130</v>
      </c>
      <c r="L88" s="21">
        <v>46130</v>
      </c>
      <c r="P88" t="s">
        <v>379</v>
      </c>
      <c r="Q88" t="s">
        <v>379</v>
      </c>
      <c r="S88" t="s">
        <v>407</v>
      </c>
      <c r="T88">
        <v>5784</v>
      </c>
      <c r="U88" t="s">
        <v>381</v>
      </c>
      <c r="AA88" t="s">
        <v>5</v>
      </c>
      <c r="AC88">
        <v>994</v>
      </c>
      <c r="AD88">
        <v>46221</v>
      </c>
      <c r="AE88">
        <v>46161</v>
      </c>
      <c r="AF88">
        <v>102</v>
      </c>
      <c r="AG88">
        <v>102</v>
      </c>
      <c r="AH88" t="s">
        <v>519</v>
      </c>
      <c r="AI88" t="b">
        <v>0</v>
      </c>
      <c r="AJ88" t="s">
        <v>557</v>
      </c>
      <c r="AK88" t="s">
        <v>384</v>
      </c>
      <c r="AL88" t="s">
        <v>385</v>
      </c>
      <c r="AM88" t="s">
        <v>385</v>
      </c>
      <c r="AN88" t="s">
        <v>384</v>
      </c>
      <c r="AO88" t="s">
        <v>384</v>
      </c>
      <c r="AP88" t="s">
        <v>384</v>
      </c>
      <c r="AQ88" t="s">
        <v>384</v>
      </c>
      <c r="AR88" t="s">
        <v>384</v>
      </c>
      <c r="AS88" t="s">
        <v>384</v>
      </c>
      <c r="AT88" t="s">
        <v>384</v>
      </c>
      <c r="AU88" t="s">
        <v>384</v>
      </c>
      <c r="AV88" t="s">
        <v>384</v>
      </c>
      <c r="AW88" t="s">
        <v>384</v>
      </c>
      <c r="AX88" t="s">
        <v>385</v>
      </c>
      <c r="AY88" t="s">
        <v>384</v>
      </c>
      <c r="AZ88" t="s">
        <v>384</v>
      </c>
      <c r="BA88" t="s">
        <v>385</v>
      </c>
      <c r="BB88" t="s">
        <v>384</v>
      </c>
      <c r="BC88" t="s">
        <v>384</v>
      </c>
      <c r="BD88" t="s">
        <v>384</v>
      </c>
      <c r="BI88" t="s">
        <v>405</v>
      </c>
    </row>
    <row r="89" spans="1:61" x14ac:dyDescent="0.2">
      <c r="A89">
        <v>0</v>
      </c>
      <c r="B89">
        <v>973</v>
      </c>
      <c r="D89" t="s">
        <v>348</v>
      </c>
      <c r="E89" t="s">
        <v>440</v>
      </c>
      <c r="F89" t="s">
        <v>406</v>
      </c>
      <c r="G89" t="s">
        <v>378</v>
      </c>
      <c r="J89" t="s">
        <v>87</v>
      </c>
      <c r="K89" s="21">
        <v>46131</v>
      </c>
      <c r="L89" s="21">
        <v>46131</v>
      </c>
      <c r="P89" t="s">
        <v>379</v>
      </c>
      <c r="Q89" t="s">
        <v>379</v>
      </c>
      <c r="T89">
        <v>5763</v>
      </c>
      <c r="U89" t="s">
        <v>381</v>
      </c>
      <c r="Z89" t="s">
        <v>413</v>
      </c>
      <c r="AA89" t="s">
        <v>5</v>
      </c>
      <c r="AC89">
        <v>973</v>
      </c>
      <c r="AD89">
        <v>46221</v>
      </c>
      <c r="AE89">
        <v>46161</v>
      </c>
      <c r="AF89">
        <v>102</v>
      </c>
      <c r="AG89">
        <v>102</v>
      </c>
      <c r="AH89" t="s">
        <v>382</v>
      </c>
      <c r="AI89" t="b">
        <v>0</v>
      </c>
      <c r="AJ89" t="s">
        <v>558</v>
      </c>
      <c r="AK89" t="s">
        <v>384</v>
      </c>
      <c r="AL89" t="s">
        <v>385</v>
      </c>
      <c r="AM89" t="s">
        <v>385</v>
      </c>
      <c r="AN89" t="s">
        <v>384</v>
      </c>
      <c r="AO89" t="s">
        <v>384</v>
      </c>
      <c r="AP89" t="s">
        <v>384</v>
      </c>
      <c r="AQ89" t="s">
        <v>384</v>
      </c>
      <c r="AR89" t="s">
        <v>384</v>
      </c>
      <c r="AS89" t="s">
        <v>384</v>
      </c>
      <c r="AT89" t="s">
        <v>384</v>
      </c>
      <c r="AU89" t="s">
        <v>384</v>
      </c>
      <c r="AV89" t="s">
        <v>384</v>
      </c>
      <c r="AW89" t="s">
        <v>384</v>
      </c>
      <c r="AX89" t="s">
        <v>385</v>
      </c>
      <c r="AY89" t="s">
        <v>384</v>
      </c>
      <c r="AZ89" t="s">
        <v>384</v>
      </c>
      <c r="BA89" t="s">
        <v>385</v>
      </c>
      <c r="BB89" t="s">
        <v>384</v>
      </c>
      <c r="BC89" t="s">
        <v>384</v>
      </c>
      <c r="BD89" t="s">
        <v>384</v>
      </c>
      <c r="BI89" t="s">
        <v>440</v>
      </c>
    </row>
    <row r="90" spans="1:61" x14ac:dyDescent="0.2">
      <c r="A90">
        <v>0</v>
      </c>
      <c r="B90">
        <v>953</v>
      </c>
      <c r="D90" t="s">
        <v>348</v>
      </c>
      <c r="E90" t="s">
        <v>409</v>
      </c>
      <c r="F90" t="s">
        <v>410</v>
      </c>
      <c r="G90" t="s">
        <v>378</v>
      </c>
      <c r="J90" t="s">
        <v>87</v>
      </c>
      <c r="K90" s="21">
        <v>46131</v>
      </c>
      <c r="L90" s="21">
        <v>46131</v>
      </c>
      <c r="P90" t="s">
        <v>379</v>
      </c>
      <c r="Q90" t="s">
        <v>379</v>
      </c>
      <c r="T90">
        <v>5743</v>
      </c>
      <c r="U90" t="s">
        <v>381</v>
      </c>
      <c r="AA90" t="s">
        <v>5</v>
      </c>
      <c r="AC90">
        <v>953</v>
      </c>
      <c r="AD90">
        <v>46221</v>
      </c>
      <c r="AE90">
        <v>46161</v>
      </c>
      <c r="AF90">
        <v>102</v>
      </c>
      <c r="AG90">
        <v>102</v>
      </c>
      <c r="AH90" t="s">
        <v>519</v>
      </c>
      <c r="AI90" t="b">
        <v>0</v>
      </c>
      <c r="AJ90" t="s">
        <v>559</v>
      </c>
      <c r="AK90" t="s">
        <v>384</v>
      </c>
      <c r="AL90" t="s">
        <v>385</v>
      </c>
      <c r="AM90" t="s">
        <v>385</v>
      </c>
      <c r="AN90" t="s">
        <v>384</v>
      </c>
      <c r="AO90" t="s">
        <v>384</v>
      </c>
      <c r="AP90" t="s">
        <v>384</v>
      </c>
      <c r="AQ90" t="s">
        <v>384</v>
      </c>
      <c r="AR90" t="s">
        <v>384</v>
      </c>
      <c r="AS90" t="s">
        <v>384</v>
      </c>
      <c r="AT90" t="s">
        <v>384</v>
      </c>
      <c r="AU90" t="s">
        <v>384</v>
      </c>
      <c r="AV90" t="s">
        <v>384</v>
      </c>
      <c r="AW90" t="s">
        <v>384</v>
      </c>
      <c r="AX90" t="s">
        <v>385</v>
      </c>
      <c r="AY90" t="s">
        <v>384</v>
      </c>
      <c r="AZ90" t="s">
        <v>384</v>
      </c>
      <c r="BA90" t="s">
        <v>385</v>
      </c>
      <c r="BB90" t="s">
        <v>384</v>
      </c>
      <c r="BC90" t="s">
        <v>384</v>
      </c>
      <c r="BD90" t="s">
        <v>384</v>
      </c>
      <c r="BI90" t="s">
        <v>409</v>
      </c>
    </row>
    <row r="91" spans="1:61" x14ac:dyDescent="0.2">
      <c r="A91">
        <v>0</v>
      </c>
      <c r="B91">
        <v>1084</v>
      </c>
      <c r="D91" t="s">
        <v>348</v>
      </c>
      <c r="E91" t="s">
        <v>560</v>
      </c>
      <c r="F91" t="s">
        <v>561</v>
      </c>
      <c r="G91" t="s">
        <v>378</v>
      </c>
      <c r="J91" t="s">
        <v>87</v>
      </c>
      <c r="K91" s="21">
        <v>46133</v>
      </c>
      <c r="L91" s="21">
        <v>46133</v>
      </c>
      <c r="P91" t="s">
        <v>379</v>
      </c>
      <c r="Q91" t="s">
        <v>379</v>
      </c>
      <c r="S91" t="s">
        <v>380</v>
      </c>
      <c r="T91">
        <v>7563</v>
      </c>
      <c r="U91" t="s">
        <v>381</v>
      </c>
      <c r="AA91" t="s">
        <v>5</v>
      </c>
      <c r="AC91">
        <v>1084</v>
      </c>
      <c r="AD91">
        <v>46221</v>
      </c>
      <c r="AE91">
        <v>46161</v>
      </c>
      <c r="AF91">
        <v>102</v>
      </c>
      <c r="AG91">
        <v>102</v>
      </c>
      <c r="AH91" t="s">
        <v>519</v>
      </c>
      <c r="AI91" t="b">
        <v>0</v>
      </c>
      <c r="AJ91" t="s">
        <v>562</v>
      </c>
      <c r="AK91" t="s">
        <v>384</v>
      </c>
      <c r="AL91" t="s">
        <v>385</v>
      </c>
      <c r="AM91" t="s">
        <v>385</v>
      </c>
      <c r="AN91" t="s">
        <v>384</v>
      </c>
      <c r="AO91" t="s">
        <v>384</v>
      </c>
      <c r="AP91" t="s">
        <v>384</v>
      </c>
      <c r="AQ91" t="s">
        <v>384</v>
      </c>
      <c r="AR91" t="s">
        <v>384</v>
      </c>
      <c r="AS91" t="s">
        <v>384</v>
      </c>
      <c r="AT91" t="s">
        <v>384</v>
      </c>
      <c r="AU91" t="s">
        <v>384</v>
      </c>
      <c r="AV91" t="s">
        <v>384</v>
      </c>
      <c r="AW91" t="s">
        <v>384</v>
      </c>
      <c r="AX91" t="s">
        <v>385</v>
      </c>
      <c r="AY91" t="s">
        <v>384</v>
      </c>
      <c r="AZ91" t="s">
        <v>384</v>
      </c>
      <c r="BA91" t="s">
        <v>385</v>
      </c>
      <c r="BB91" t="s">
        <v>384</v>
      </c>
      <c r="BC91" t="s">
        <v>384</v>
      </c>
      <c r="BD91" t="s">
        <v>384</v>
      </c>
      <c r="BI91" t="s">
        <v>560</v>
      </c>
    </row>
    <row r="92" spans="1:61" x14ac:dyDescent="0.2">
      <c r="A92">
        <v>0</v>
      </c>
      <c r="B92">
        <v>912</v>
      </c>
      <c r="D92" t="s">
        <v>348</v>
      </c>
      <c r="E92" t="s">
        <v>563</v>
      </c>
      <c r="F92" t="s">
        <v>416</v>
      </c>
      <c r="G92" t="s">
        <v>378</v>
      </c>
      <c r="J92" t="s">
        <v>87</v>
      </c>
      <c r="K92" s="21">
        <v>46136</v>
      </c>
      <c r="L92" s="21">
        <v>46136</v>
      </c>
      <c r="P92" t="s">
        <v>379</v>
      </c>
      <c r="Q92" t="s">
        <v>379</v>
      </c>
      <c r="T92">
        <v>5701</v>
      </c>
      <c r="U92" t="s">
        <v>381</v>
      </c>
      <c r="AA92" t="s">
        <v>5</v>
      </c>
      <c r="AC92">
        <v>912</v>
      </c>
      <c r="AD92">
        <v>46221</v>
      </c>
      <c r="AE92">
        <v>46161</v>
      </c>
      <c r="AF92">
        <v>102</v>
      </c>
      <c r="AG92">
        <v>102</v>
      </c>
      <c r="AH92" t="s">
        <v>519</v>
      </c>
      <c r="AI92" t="b">
        <v>0</v>
      </c>
      <c r="AJ92" t="s">
        <v>564</v>
      </c>
      <c r="AK92" t="s">
        <v>384</v>
      </c>
      <c r="AL92" t="s">
        <v>385</v>
      </c>
      <c r="AM92" t="s">
        <v>385</v>
      </c>
      <c r="AN92" t="s">
        <v>384</v>
      </c>
      <c r="AO92" t="s">
        <v>384</v>
      </c>
      <c r="AP92" t="s">
        <v>384</v>
      </c>
      <c r="AQ92" t="s">
        <v>384</v>
      </c>
      <c r="AR92" t="s">
        <v>384</v>
      </c>
      <c r="AS92" t="s">
        <v>384</v>
      </c>
      <c r="AT92" t="s">
        <v>384</v>
      </c>
      <c r="AU92" t="s">
        <v>384</v>
      </c>
      <c r="AV92" t="s">
        <v>384</v>
      </c>
      <c r="AW92" t="s">
        <v>384</v>
      </c>
      <c r="AX92" t="s">
        <v>385</v>
      </c>
      <c r="AY92" t="s">
        <v>384</v>
      </c>
      <c r="AZ92" t="s">
        <v>384</v>
      </c>
      <c r="BA92" t="s">
        <v>385</v>
      </c>
      <c r="BB92" t="s">
        <v>384</v>
      </c>
      <c r="BC92" t="s">
        <v>384</v>
      </c>
      <c r="BD92" t="s">
        <v>384</v>
      </c>
      <c r="BI92" t="s">
        <v>563</v>
      </c>
    </row>
    <row r="93" spans="1:61" x14ac:dyDescent="0.2">
      <c r="A93">
        <v>0</v>
      </c>
      <c r="B93">
        <v>990</v>
      </c>
      <c r="D93" t="s">
        <v>348</v>
      </c>
      <c r="E93" t="s">
        <v>565</v>
      </c>
      <c r="F93" t="s">
        <v>566</v>
      </c>
      <c r="G93" t="s">
        <v>378</v>
      </c>
      <c r="J93" t="s">
        <v>87</v>
      </c>
      <c r="K93" s="21">
        <v>46137</v>
      </c>
      <c r="L93" s="21">
        <v>46137</v>
      </c>
      <c r="P93" t="s">
        <v>379</v>
      </c>
      <c r="Q93" t="s">
        <v>379</v>
      </c>
      <c r="S93" t="s">
        <v>129</v>
      </c>
      <c r="T93">
        <v>5780</v>
      </c>
      <c r="U93" t="s">
        <v>381</v>
      </c>
      <c r="Z93" t="s">
        <v>413</v>
      </c>
      <c r="AA93" t="s">
        <v>5</v>
      </c>
      <c r="AC93">
        <v>990</v>
      </c>
      <c r="AD93">
        <v>46221</v>
      </c>
      <c r="AE93">
        <v>46161</v>
      </c>
      <c r="AF93">
        <v>102</v>
      </c>
      <c r="AG93">
        <v>102</v>
      </c>
      <c r="AH93" t="s">
        <v>382</v>
      </c>
      <c r="AI93" t="b">
        <v>0</v>
      </c>
      <c r="AJ93" t="s">
        <v>567</v>
      </c>
      <c r="AK93" t="s">
        <v>384</v>
      </c>
      <c r="AL93" t="s">
        <v>385</v>
      </c>
      <c r="AM93" t="s">
        <v>385</v>
      </c>
      <c r="AN93" t="s">
        <v>384</v>
      </c>
      <c r="AO93" t="s">
        <v>384</v>
      </c>
      <c r="AP93" t="s">
        <v>384</v>
      </c>
      <c r="AQ93" t="s">
        <v>384</v>
      </c>
      <c r="AR93" t="s">
        <v>384</v>
      </c>
      <c r="AS93" t="s">
        <v>384</v>
      </c>
      <c r="AT93" t="s">
        <v>384</v>
      </c>
      <c r="AU93" t="s">
        <v>384</v>
      </c>
      <c r="AV93" t="s">
        <v>384</v>
      </c>
      <c r="AW93" t="s">
        <v>384</v>
      </c>
      <c r="AX93" t="s">
        <v>385</v>
      </c>
      <c r="AY93" t="s">
        <v>384</v>
      </c>
      <c r="AZ93" t="s">
        <v>384</v>
      </c>
      <c r="BA93" t="s">
        <v>385</v>
      </c>
      <c r="BB93" t="s">
        <v>384</v>
      </c>
      <c r="BC93" t="s">
        <v>384</v>
      </c>
      <c r="BD93" t="s">
        <v>384</v>
      </c>
      <c r="BI93" t="s">
        <v>565</v>
      </c>
    </row>
    <row r="94" spans="1:61" x14ac:dyDescent="0.2">
      <c r="A94">
        <v>0</v>
      </c>
      <c r="B94">
        <v>941</v>
      </c>
      <c r="D94" t="s">
        <v>348</v>
      </c>
      <c r="E94" t="s">
        <v>418</v>
      </c>
      <c r="F94" t="s">
        <v>419</v>
      </c>
      <c r="G94" t="s">
        <v>378</v>
      </c>
      <c r="J94" t="s">
        <v>87</v>
      </c>
      <c r="K94" s="21">
        <v>46139</v>
      </c>
      <c r="L94" s="21">
        <v>46139</v>
      </c>
      <c r="P94" t="s">
        <v>379</v>
      </c>
      <c r="Q94" t="s">
        <v>379</v>
      </c>
      <c r="T94">
        <v>5731</v>
      </c>
      <c r="U94" t="s">
        <v>381</v>
      </c>
      <c r="AA94" t="s">
        <v>5</v>
      </c>
      <c r="AC94">
        <v>941</v>
      </c>
      <c r="AD94">
        <v>46221</v>
      </c>
      <c r="AE94">
        <v>46161</v>
      </c>
      <c r="AF94">
        <v>102</v>
      </c>
      <c r="AG94">
        <v>102</v>
      </c>
      <c r="AH94" t="s">
        <v>519</v>
      </c>
      <c r="AI94" t="b">
        <v>0</v>
      </c>
      <c r="AJ94" t="s">
        <v>568</v>
      </c>
      <c r="AK94" t="s">
        <v>384</v>
      </c>
      <c r="AL94" t="s">
        <v>385</v>
      </c>
      <c r="AM94" t="s">
        <v>385</v>
      </c>
      <c r="AN94" t="s">
        <v>384</v>
      </c>
      <c r="AO94" t="s">
        <v>384</v>
      </c>
      <c r="AP94" t="s">
        <v>384</v>
      </c>
      <c r="AQ94" t="s">
        <v>384</v>
      </c>
      <c r="AR94" t="s">
        <v>384</v>
      </c>
      <c r="AS94" t="s">
        <v>384</v>
      </c>
      <c r="AT94" t="s">
        <v>384</v>
      </c>
      <c r="AU94" t="s">
        <v>384</v>
      </c>
      <c r="AV94" t="s">
        <v>384</v>
      </c>
      <c r="AW94" t="s">
        <v>384</v>
      </c>
      <c r="AX94" t="s">
        <v>385</v>
      </c>
      <c r="AY94" t="s">
        <v>384</v>
      </c>
      <c r="AZ94" t="s">
        <v>384</v>
      </c>
      <c r="BA94" t="s">
        <v>385</v>
      </c>
      <c r="BB94" t="s">
        <v>384</v>
      </c>
      <c r="BC94" t="s">
        <v>384</v>
      </c>
      <c r="BD94" t="s">
        <v>384</v>
      </c>
      <c r="BI94" t="s">
        <v>418</v>
      </c>
    </row>
    <row r="95" spans="1:61" x14ac:dyDescent="0.2">
      <c r="A95">
        <v>0</v>
      </c>
      <c r="B95">
        <v>900</v>
      </c>
      <c r="D95" t="s">
        <v>348</v>
      </c>
      <c r="E95" t="s">
        <v>569</v>
      </c>
      <c r="F95" t="s">
        <v>416</v>
      </c>
      <c r="G95" t="s">
        <v>378</v>
      </c>
      <c r="J95" t="s">
        <v>87</v>
      </c>
      <c r="K95" s="21">
        <v>46142</v>
      </c>
      <c r="L95" s="21">
        <v>46145</v>
      </c>
      <c r="P95" t="s">
        <v>379</v>
      </c>
      <c r="Q95" t="s">
        <v>379</v>
      </c>
      <c r="T95">
        <v>5689</v>
      </c>
      <c r="U95" t="s">
        <v>381</v>
      </c>
      <c r="AA95" t="s">
        <v>5</v>
      </c>
      <c r="AC95">
        <v>900</v>
      </c>
      <c r="AD95">
        <v>46221</v>
      </c>
      <c r="AE95">
        <v>46161</v>
      </c>
      <c r="AF95">
        <v>102</v>
      </c>
      <c r="AG95">
        <v>102</v>
      </c>
      <c r="AH95" t="s">
        <v>519</v>
      </c>
      <c r="AI95" t="b">
        <v>0</v>
      </c>
      <c r="AJ95" t="s">
        <v>570</v>
      </c>
      <c r="AK95" t="s">
        <v>384</v>
      </c>
      <c r="AL95" t="s">
        <v>385</v>
      </c>
      <c r="AM95" t="s">
        <v>385</v>
      </c>
      <c r="AN95" t="s">
        <v>384</v>
      </c>
      <c r="AO95" t="s">
        <v>384</v>
      </c>
      <c r="AP95" t="s">
        <v>384</v>
      </c>
      <c r="AQ95" t="s">
        <v>384</v>
      </c>
      <c r="AR95" t="s">
        <v>384</v>
      </c>
      <c r="AS95" t="s">
        <v>384</v>
      </c>
      <c r="AT95" t="s">
        <v>384</v>
      </c>
      <c r="AU95" t="s">
        <v>384</v>
      </c>
      <c r="AV95" t="s">
        <v>384</v>
      </c>
      <c r="AW95" t="s">
        <v>384</v>
      </c>
      <c r="AX95" t="s">
        <v>385</v>
      </c>
      <c r="AY95" t="s">
        <v>384</v>
      </c>
      <c r="AZ95" t="s">
        <v>384</v>
      </c>
      <c r="BA95" t="s">
        <v>385</v>
      </c>
      <c r="BB95" t="s">
        <v>384</v>
      </c>
      <c r="BC95" t="s">
        <v>384</v>
      </c>
      <c r="BD95" t="s">
        <v>384</v>
      </c>
      <c r="BI95" t="s">
        <v>569</v>
      </c>
    </row>
    <row r="96" spans="1:61" x14ac:dyDescent="0.2">
      <c r="A96">
        <v>0</v>
      </c>
      <c r="B96">
        <v>1085</v>
      </c>
      <c r="D96" t="s">
        <v>348</v>
      </c>
      <c r="E96" t="s">
        <v>421</v>
      </c>
      <c r="F96" t="s">
        <v>422</v>
      </c>
      <c r="G96" t="s">
        <v>378</v>
      </c>
      <c r="J96" t="s">
        <v>87</v>
      </c>
      <c r="K96" s="21">
        <v>46143</v>
      </c>
      <c r="L96" s="21">
        <v>46143</v>
      </c>
      <c r="P96" t="s">
        <v>379</v>
      </c>
      <c r="Q96" t="s">
        <v>379</v>
      </c>
      <c r="S96" t="s">
        <v>380</v>
      </c>
      <c r="T96">
        <v>7564</v>
      </c>
      <c r="U96" t="s">
        <v>381</v>
      </c>
      <c r="AA96" t="s">
        <v>5</v>
      </c>
      <c r="AC96">
        <v>1085</v>
      </c>
      <c r="AD96">
        <v>46221</v>
      </c>
      <c r="AE96">
        <v>46161</v>
      </c>
      <c r="AF96">
        <v>102</v>
      </c>
      <c r="AG96">
        <v>102</v>
      </c>
      <c r="AH96" t="s">
        <v>519</v>
      </c>
      <c r="AI96" t="b">
        <v>0</v>
      </c>
      <c r="AJ96" t="s">
        <v>571</v>
      </c>
      <c r="AK96" t="s">
        <v>384</v>
      </c>
      <c r="AL96" t="s">
        <v>385</v>
      </c>
      <c r="AM96" t="s">
        <v>385</v>
      </c>
      <c r="AN96" t="s">
        <v>384</v>
      </c>
      <c r="AO96" t="s">
        <v>384</v>
      </c>
      <c r="AP96" t="s">
        <v>384</v>
      </c>
      <c r="AQ96" t="s">
        <v>384</v>
      </c>
      <c r="AR96" t="s">
        <v>384</v>
      </c>
      <c r="AS96" t="s">
        <v>384</v>
      </c>
      <c r="AT96" t="s">
        <v>384</v>
      </c>
      <c r="AU96" t="s">
        <v>384</v>
      </c>
      <c r="AV96" t="s">
        <v>384</v>
      </c>
      <c r="AW96" t="s">
        <v>384</v>
      </c>
      <c r="AX96" t="s">
        <v>385</v>
      </c>
      <c r="AY96" t="s">
        <v>384</v>
      </c>
      <c r="AZ96" t="s">
        <v>384</v>
      </c>
      <c r="BA96" t="s">
        <v>385</v>
      </c>
      <c r="BB96" t="s">
        <v>384</v>
      </c>
      <c r="BC96" t="s">
        <v>384</v>
      </c>
      <c r="BD96" t="s">
        <v>384</v>
      </c>
      <c r="BI96" t="s">
        <v>421</v>
      </c>
    </row>
    <row r="97" spans="1:61" x14ac:dyDescent="0.2">
      <c r="A97">
        <v>0</v>
      </c>
      <c r="B97">
        <v>923</v>
      </c>
      <c r="D97" t="s">
        <v>348</v>
      </c>
      <c r="E97" t="s">
        <v>324</v>
      </c>
      <c r="F97" t="s">
        <v>416</v>
      </c>
      <c r="G97" t="s">
        <v>378</v>
      </c>
      <c r="J97" t="s">
        <v>87</v>
      </c>
      <c r="K97" s="21">
        <v>46145</v>
      </c>
      <c r="L97" s="21">
        <v>46145</v>
      </c>
      <c r="P97" t="s">
        <v>379</v>
      </c>
      <c r="Q97" t="s">
        <v>379</v>
      </c>
      <c r="T97">
        <v>5712</v>
      </c>
      <c r="U97" t="s">
        <v>381</v>
      </c>
      <c r="AA97" t="s">
        <v>5</v>
      </c>
      <c r="AC97">
        <v>923</v>
      </c>
      <c r="AD97">
        <v>46221</v>
      </c>
      <c r="AE97">
        <v>46161</v>
      </c>
      <c r="AF97">
        <v>102</v>
      </c>
      <c r="AG97">
        <v>102</v>
      </c>
      <c r="AH97" t="s">
        <v>519</v>
      </c>
      <c r="AI97" t="b">
        <v>0</v>
      </c>
      <c r="AJ97" t="s">
        <v>572</v>
      </c>
      <c r="AK97" t="s">
        <v>384</v>
      </c>
      <c r="AL97" t="s">
        <v>385</v>
      </c>
      <c r="AM97" t="s">
        <v>385</v>
      </c>
      <c r="AN97" t="s">
        <v>384</v>
      </c>
      <c r="AO97" t="s">
        <v>384</v>
      </c>
      <c r="AP97" t="s">
        <v>384</v>
      </c>
      <c r="AQ97" t="s">
        <v>384</v>
      </c>
      <c r="AR97" t="s">
        <v>384</v>
      </c>
      <c r="AS97" t="s">
        <v>384</v>
      </c>
      <c r="AT97" t="s">
        <v>384</v>
      </c>
      <c r="AU97" t="s">
        <v>384</v>
      </c>
      <c r="AV97" t="s">
        <v>384</v>
      </c>
      <c r="AW97" t="s">
        <v>384</v>
      </c>
      <c r="AX97" t="s">
        <v>385</v>
      </c>
      <c r="AY97" t="s">
        <v>384</v>
      </c>
      <c r="AZ97" t="s">
        <v>384</v>
      </c>
      <c r="BA97" t="s">
        <v>385</v>
      </c>
      <c r="BB97" t="s">
        <v>384</v>
      </c>
      <c r="BC97" t="s">
        <v>384</v>
      </c>
      <c r="BD97" t="s">
        <v>384</v>
      </c>
      <c r="BI97" t="s">
        <v>324</v>
      </c>
    </row>
    <row r="98" spans="1:61" x14ac:dyDescent="0.2">
      <c r="A98">
        <v>0</v>
      </c>
      <c r="B98">
        <v>1040</v>
      </c>
      <c r="D98" t="s">
        <v>348</v>
      </c>
      <c r="E98" t="s">
        <v>573</v>
      </c>
      <c r="F98" t="s">
        <v>574</v>
      </c>
      <c r="G98" t="s">
        <v>378</v>
      </c>
      <c r="J98" t="s">
        <v>87</v>
      </c>
      <c r="K98" s="21">
        <v>46147</v>
      </c>
      <c r="L98" s="21">
        <v>46147</v>
      </c>
      <c r="P98" t="s">
        <v>379</v>
      </c>
      <c r="Q98" t="s">
        <v>379</v>
      </c>
      <c r="S98" t="s">
        <v>380</v>
      </c>
      <c r="T98">
        <v>7374</v>
      </c>
      <c r="U98" t="s">
        <v>381</v>
      </c>
      <c r="AA98" t="s">
        <v>5</v>
      </c>
      <c r="AC98">
        <v>1040</v>
      </c>
      <c r="AD98">
        <v>46221</v>
      </c>
      <c r="AE98">
        <v>46161</v>
      </c>
      <c r="AF98">
        <v>102</v>
      </c>
      <c r="AG98">
        <v>102</v>
      </c>
      <c r="AH98" t="s">
        <v>519</v>
      </c>
      <c r="AI98" t="b">
        <v>0</v>
      </c>
      <c r="AJ98" t="s">
        <v>575</v>
      </c>
      <c r="AK98" t="s">
        <v>384</v>
      </c>
      <c r="AL98" t="s">
        <v>385</v>
      </c>
      <c r="AM98" t="s">
        <v>385</v>
      </c>
      <c r="AN98" t="s">
        <v>384</v>
      </c>
      <c r="AO98" t="s">
        <v>384</v>
      </c>
      <c r="AP98" t="s">
        <v>384</v>
      </c>
      <c r="AQ98" t="s">
        <v>384</v>
      </c>
      <c r="AR98" t="s">
        <v>384</v>
      </c>
      <c r="AS98" t="s">
        <v>384</v>
      </c>
      <c r="AT98" t="s">
        <v>384</v>
      </c>
      <c r="AU98" t="s">
        <v>384</v>
      </c>
      <c r="AV98" t="s">
        <v>384</v>
      </c>
      <c r="AW98" t="s">
        <v>384</v>
      </c>
      <c r="AX98" t="s">
        <v>385</v>
      </c>
      <c r="AY98" t="s">
        <v>384</v>
      </c>
      <c r="AZ98" t="s">
        <v>384</v>
      </c>
      <c r="BA98" t="s">
        <v>385</v>
      </c>
      <c r="BB98" t="s">
        <v>384</v>
      </c>
      <c r="BC98" t="s">
        <v>384</v>
      </c>
      <c r="BD98" t="s">
        <v>384</v>
      </c>
      <c r="BI98" t="s">
        <v>573</v>
      </c>
    </row>
    <row r="99" spans="1:61" x14ac:dyDescent="0.2">
      <c r="A99">
        <v>0</v>
      </c>
      <c r="B99">
        <v>1041</v>
      </c>
      <c r="D99" t="s">
        <v>348</v>
      </c>
      <c r="E99" t="s">
        <v>576</v>
      </c>
      <c r="F99" t="s">
        <v>577</v>
      </c>
      <c r="G99" t="s">
        <v>378</v>
      </c>
      <c r="J99" t="s">
        <v>87</v>
      </c>
      <c r="K99" s="21">
        <v>46147</v>
      </c>
      <c r="L99" s="21">
        <v>46147</v>
      </c>
      <c r="P99" t="s">
        <v>379</v>
      </c>
      <c r="Q99" t="s">
        <v>379</v>
      </c>
      <c r="S99" t="s">
        <v>380</v>
      </c>
      <c r="T99">
        <v>7375</v>
      </c>
      <c r="U99" t="s">
        <v>381</v>
      </c>
      <c r="AA99" t="s">
        <v>5</v>
      </c>
      <c r="AC99">
        <v>1041</v>
      </c>
      <c r="AD99">
        <v>46221</v>
      </c>
      <c r="AE99">
        <v>46161</v>
      </c>
      <c r="AF99">
        <v>102</v>
      </c>
      <c r="AG99">
        <v>102</v>
      </c>
      <c r="AH99" t="s">
        <v>519</v>
      </c>
      <c r="AI99" t="b">
        <v>0</v>
      </c>
      <c r="AJ99" t="s">
        <v>578</v>
      </c>
      <c r="AK99" t="s">
        <v>384</v>
      </c>
      <c r="AL99" t="s">
        <v>385</v>
      </c>
      <c r="AM99" t="s">
        <v>385</v>
      </c>
      <c r="AN99" t="s">
        <v>384</v>
      </c>
      <c r="AO99" t="s">
        <v>384</v>
      </c>
      <c r="AP99" t="s">
        <v>384</v>
      </c>
      <c r="AQ99" t="s">
        <v>384</v>
      </c>
      <c r="AR99" t="s">
        <v>384</v>
      </c>
      <c r="AS99" t="s">
        <v>384</v>
      </c>
      <c r="AT99" t="s">
        <v>384</v>
      </c>
      <c r="AU99" t="s">
        <v>384</v>
      </c>
      <c r="AV99" t="s">
        <v>384</v>
      </c>
      <c r="AW99" t="s">
        <v>384</v>
      </c>
      <c r="AX99" t="s">
        <v>385</v>
      </c>
      <c r="AY99" t="s">
        <v>384</v>
      </c>
      <c r="AZ99" t="s">
        <v>384</v>
      </c>
      <c r="BA99" t="s">
        <v>385</v>
      </c>
      <c r="BB99" t="s">
        <v>384</v>
      </c>
      <c r="BC99" t="s">
        <v>384</v>
      </c>
      <c r="BD99" t="s">
        <v>384</v>
      </c>
      <c r="BI99" t="s">
        <v>576</v>
      </c>
    </row>
    <row r="100" spans="1:61" x14ac:dyDescent="0.2">
      <c r="A100">
        <v>0</v>
      </c>
      <c r="B100">
        <v>1049</v>
      </c>
      <c r="D100" t="s">
        <v>348</v>
      </c>
      <c r="E100" t="s">
        <v>386</v>
      </c>
      <c r="F100" t="s">
        <v>579</v>
      </c>
      <c r="G100" t="s">
        <v>378</v>
      </c>
      <c r="J100" t="s">
        <v>87</v>
      </c>
      <c r="K100" s="21">
        <v>46149</v>
      </c>
      <c r="L100" s="21">
        <v>46149</v>
      </c>
      <c r="P100" t="s">
        <v>379</v>
      </c>
      <c r="Q100" t="s">
        <v>379</v>
      </c>
      <c r="S100" t="s">
        <v>380</v>
      </c>
      <c r="T100">
        <v>7387</v>
      </c>
      <c r="U100" t="s">
        <v>381</v>
      </c>
      <c r="AA100" t="s">
        <v>5</v>
      </c>
      <c r="AC100">
        <v>1049</v>
      </c>
      <c r="AD100">
        <v>46221</v>
      </c>
      <c r="AE100">
        <v>46161</v>
      </c>
      <c r="AF100">
        <v>102</v>
      </c>
      <c r="AG100">
        <v>102</v>
      </c>
      <c r="AH100" t="s">
        <v>519</v>
      </c>
      <c r="AI100" t="b">
        <v>0</v>
      </c>
      <c r="AJ100" t="s">
        <v>580</v>
      </c>
      <c r="AK100" t="s">
        <v>384</v>
      </c>
      <c r="AL100" t="s">
        <v>385</v>
      </c>
      <c r="AM100" t="s">
        <v>385</v>
      </c>
      <c r="AN100" t="s">
        <v>384</v>
      </c>
      <c r="AO100" t="s">
        <v>384</v>
      </c>
      <c r="AP100" t="s">
        <v>384</v>
      </c>
      <c r="AQ100" t="s">
        <v>384</v>
      </c>
      <c r="AR100" t="s">
        <v>384</v>
      </c>
      <c r="AS100" t="s">
        <v>384</v>
      </c>
      <c r="AT100" t="s">
        <v>384</v>
      </c>
      <c r="AU100" t="s">
        <v>384</v>
      </c>
      <c r="AV100" t="s">
        <v>384</v>
      </c>
      <c r="AW100" t="s">
        <v>384</v>
      </c>
      <c r="AX100" t="s">
        <v>385</v>
      </c>
      <c r="AY100" t="s">
        <v>384</v>
      </c>
      <c r="AZ100" t="s">
        <v>384</v>
      </c>
      <c r="BA100" t="s">
        <v>385</v>
      </c>
      <c r="BB100" t="s">
        <v>384</v>
      </c>
      <c r="BC100" t="s">
        <v>384</v>
      </c>
      <c r="BD100" t="s">
        <v>384</v>
      </c>
      <c r="BI100" t="s">
        <v>386</v>
      </c>
    </row>
    <row r="101" spans="1:61" x14ac:dyDescent="0.2">
      <c r="A101">
        <v>0</v>
      </c>
      <c r="B101">
        <v>1026</v>
      </c>
      <c r="D101" t="s">
        <v>348</v>
      </c>
      <c r="E101" t="s">
        <v>386</v>
      </c>
      <c r="F101" t="s">
        <v>579</v>
      </c>
      <c r="G101" t="s">
        <v>378</v>
      </c>
      <c r="J101" t="s">
        <v>87</v>
      </c>
      <c r="K101" s="21">
        <v>46149</v>
      </c>
      <c r="L101" s="21">
        <v>46149</v>
      </c>
      <c r="P101" t="s">
        <v>379</v>
      </c>
      <c r="Q101" t="s">
        <v>379</v>
      </c>
      <c r="T101">
        <v>7239</v>
      </c>
      <c r="U101" t="s">
        <v>381</v>
      </c>
      <c r="AA101" t="s">
        <v>5</v>
      </c>
      <c r="AC101">
        <v>1026</v>
      </c>
      <c r="AD101">
        <v>46221</v>
      </c>
      <c r="AE101">
        <v>46161</v>
      </c>
      <c r="AF101">
        <v>102</v>
      </c>
      <c r="AG101">
        <v>102</v>
      </c>
      <c r="AH101" t="s">
        <v>519</v>
      </c>
      <c r="AI101" t="b">
        <v>0</v>
      </c>
      <c r="AJ101" t="s">
        <v>581</v>
      </c>
      <c r="AK101" t="s">
        <v>384</v>
      </c>
      <c r="AL101" t="s">
        <v>385</v>
      </c>
      <c r="AM101" t="s">
        <v>385</v>
      </c>
      <c r="AN101" t="s">
        <v>384</v>
      </c>
      <c r="AO101" t="s">
        <v>384</v>
      </c>
      <c r="AP101" t="s">
        <v>384</v>
      </c>
      <c r="AQ101" t="s">
        <v>384</v>
      </c>
      <c r="AR101" t="s">
        <v>384</v>
      </c>
      <c r="AS101" t="s">
        <v>384</v>
      </c>
      <c r="AT101" t="s">
        <v>384</v>
      </c>
      <c r="AU101" t="s">
        <v>384</v>
      </c>
      <c r="AV101" t="s">
        <v>384</v>
      </c>
      <c r="AW101" t="s">
        <v>384</v>
      </c>
      <c r="AX101" t="s">
        <v>385</v>
      </c>
      <c r="AY101" t="s">
        <v>384</v>
      </c>
      <c r="AZ101" t="s">
        <v>384</v>
      </c>
      <c r="BA101" t="s">
        <v>385</v>
      </c>
      <c r="BB101" t="s">
        <v>384</v>
      </c>
      <c r="BC101" t="s">
        <v>384</v>
      </c>
      <c r="BD101" t="s">
        <v>384</v>
      </c>
      <c r="BI101" t="s">
        <v>386</v>
      </c>
    </row>
    <row r="102" spans="1:61" x14ac:dyDescent="0.2">
      <c r="A102">
        <v>0</v>
      </c>
      <c r="B102">
        <v>1086</v>
      </c>
      <c r="D102" t="s">
        <v>348</v>
      </c>
      <c r="E102" t="s">
        <v>582</v>
      </c>
      <c r="F102" t="s">
        <v>583</v>
      </c>
      <c r="G102" t="s">
        <v>378</v>
      </c>
      <c r="J102" t="s">
        <v>87</v>
      </c>
      <c r="K102" s="21">
        <v>46150</v>
      </c>
      <c r="L102" s="21">
        <v>46151</v>
      </c>
      <c r="P102" t="s">
        <v>379</v>
      </c>
      <c r="Q102" t="s">
        <v>379</v>
      </c>
      <c r="S102" t="s">
        <v>380</v>
      </c>
      <c r="T102">
        <v>7565</v>
      </c>
      <c r="U102" t="s">
        <v>381</v>
      </c>
      <c r="AA102" t="s">
        <v>5</v>
      </c>
      <c r="AC102">
        <v>1086</v>
      </c>
      <c r="AD102">
        <v>46221</v>
      </c>
      <c r="AE102">
        <v>46161</v>
      </c>
      <c r="AF102">
        <v>102</v>
      </c>
      <c r="AG102">
        <v>102</v>
      </c>
      <c r="AH102" t="s">
        <v>519</v>
      </c>
      <c r="AI102" t="b">
        <v>0</v>
      </c>
      <c r="AJ102" t="s">
        <v>584</v>
      </c>
      <c r="AK102" t="s">
        <v>384</v>
      </c>
      <c r="AL102" t="s">
        <v>385</v>
      </c>
      <c r="AM102" t="s">
        <v>385</v>
      </c>
      <c r="AN102" t="s">
        <v>384</v>
      </c>
      <c r="AO102" t="s">
        <v>384</v>
      </c>
      <c r="AP102" t="s">
        <v>384</v>
      </c>
      <c r="AQ102" t="s">
        <v>384</v>
      </c>
      <c r="AR102" t="s">
        <v>384</v>
      </c>
      <c r="AS102" t="s">
        <v>384</v>
      </c>
      <c r="AT102" t="s">
        <v>384</v>
      </c>
      <c r="AU102" t="s">
        <v>384</v>
      </c>
      <c r="AV102" t="s">
        <v>384</v>
      </c>
      <c r="AW102" t="s">
        <v>384</v>
      </c>
      <c r="AX102" t="s">
        <v>385</v>
      </c>
      <c r="AY102" t="s">
        <v>384</v>
      </c>
      <c r="AZ102" t="s">
        <v>384</v>
      </c>
      <c r="BA102" t="s">
        <v>385</v>
      </c>
      <c r="BB102" t="s">
        <v>384</v>
      </c>
      <c r="BC102" t="s">
        <v>384</v>
      </c>
      <c r="BD102" t="s">
        <v>384</v>
      </c>
      <c r="BI102" t="s">
        <v>582</v>
      </c>
    </row>
    <row r="103" spans="1:61" x14ac:dyDescent="0.2">
      <c r="A103">
        <v>0</v>
      </c>
      <c r="B103">
        <v>1087</v>
      </c>
      <c r="D103" t="s">
        <v>348</v>
      </c>
      <c r="E103" t="s">
        <v>585</v>
      </c>
      <c r="F103" t="s">
        <v>586</v>
      </c>
      <c r="G103" t="s">
        <v>378</v>
      </c>
      <c r="J103" t="s">
        <v>87</v>
      </c>
      <c r="K103" s="21">
        <v>46156</v>
      </c>
      <c r="L103" s="21">
        <v>46158</v>
      </c>
      <c r="P103" t="s">
        <v>379</v>
      </c>
      <c r="Q103" t="s">
        <v>379</v>
      </c>
      <c r="S103" t="s">
        <v>380</v>
      </c>
      <c r="T103">
        <v>7566</v>
      </c>
      <c r="U103" t="s">
        <v>381</v>
      </c>
      <c r="AA103" t="s">
        <v>5</v>
      </c>
      <c r="AC103">
        <v>1087</v>
      </c>
      <c r="AD103">
        <v>46221</v>
      </c>
      <c r="AE103">
        <v>46161</v>
      </c>
      <c r="AF103">
        <v>102</v>
      </c>
      <c r="AG103">
        <v>102</v>
      </c>
      <c r="AH103" t="s">
        <v>519</v>
      </c>
      <c r="AI103" t="b">
        <v>0</v>
      </c>
      <c r="AJ103" t="s">
        <v>587</v>
      </c>
      <c r="AK103" t="s">
        <v>384</v>
      </c>
      <c r="AL103" t="s">
        <v>385</v>
      </c>
      <c r="AM103" t="s">
        <v>385</v>
      </c>
      <c r="AN103" t="s">
        <v>384</v>
      </c>
      <c r="AO103" t="s">
        <v>384</v>
      </c>
      <c r="AP103" t="s">
        <v>384</v>
      </c>
      <c r="AQ103" t="s">
        <v>384</v>
      </c>
      <c r="AR103" t="s">
        <v>384</v>
      </c>
      <c r="AS103" t="s">
        <v>384</v>
      </c>
      <c r="AT103" t="s">
        <v>384</v>
      </c>
      <c r="AU103" t="s">
        <v>384</v>
      </c>
      <c r="AV103" t="s">
        <v>384</v>
      </c>
      <c r="AW103" t="s">
        <v>384</v>
      </c>
      <c r="AX103" t="s">
        <v>385</v>
      </c>
      <c r="AY103" t="s">
        <v>384</v>
      </c>
      <c r="AZ103" t="s">
        <v>384</v>
      </c>
      <c r="BA103" t="s">
        <v>385</v>
      </c>
      <c r="BB103" t="s">
        <v>384</v>
      </c>
      <c r="BC103" t="s">
        <v>384</v>
      </c>
      <c r="BD103" t="s">
        <v>384</v>
      </c>
      <c r="BI103" t="s">
        <v>585</v>
      </c>
    </row>
    <row r="104" spans="1:61" x14ac:dyDescent="0.2">
      <c r="A104">
        <v>0</v>
      </c>
      <c r="B104">
        <v>1088</v>
      </c>
      <c r="D104" t="s">
        <v>348</v>
      </c>
      <c r="E104" t="s">
        <v>588</v>
      </c>
      <c r="F104" t="s">
        <v>589</v>
      </c>
      <c r="G104" t="s">
        <v>378</v>
      </c>
      <c r="J104" t="s">
        <v>87</v>
      </c>
      <c r="K104" s="21">
        <v>46156</v>
      </c>
      <c r="L104" s="21">
        <v>46158</v>
      </c>
      <c r="P104" t="s">
        <v>379</v>
      </c>
      <c r="Q104" t="s">
        <v>379</v>
      </c>
      <c r="S104" t="s">
        <v>380</v>
      </c>
      <c r="T104">
        <v>7567</v>
      </c>
      <c r="U104" t="s">
        <v>381</v>
      </c>
      <c r="AA104" t="s">
        <v>5</v>
      </c>
      <c r="AC104">
        <v>1088</v>
      </c>
      <c r="AD104">
        <v>46221</v>
      </c>
      <c r="AE104">
        <v>46161</v>
      </c>
      <c r="AF104">
        <v>102</v>
      </c>
      <c r="AG104">
        <v>102</v>
      </c>
      <c r="AH104" t="s">
        <v>519</v>
      </c>
      <c r="AI104" t="b">
        <v>0</v>
      </c>
      <c r="AJ104" t="s">
        <v>590</v>
      </c>
      <c r="AK104" t="s">
        <v>384</v>
      </c>
      <c r="AL104" t="s">
        <v>385</v>
      </c>
      <c r="AM104" t="s">
        <v>385</v>
      </c>
      <c r="AN104" t="s">
        <v>384</v>
      </c>
      <c r="AO104" t="s">
        <v>384</v>
      </c>
      <c r="AP104" t="s">
        <v>384</v>
      </c>
      <c r="AQ104" t="s">
        <v>384</v>
      </c>
      <c r="AR104" t="s">
        <v>384</v>
      </c>
      <c r="AS104" t="s">
        <v>384</v>
      </c>
      <c r="AT104" t="s">
        <v>384</v>
      </c>
      <c r="AU104" t="s">
        <v>384</v>
      </c>
      <c r="AV104" t="s">
        <v>384</v>
      </c>
      <c r="AW104" t="s">
        <v>384</v>
      </c>
      <c r="AX104" t="s">
        <v>385</v>
      </c>
      <c r="AY104" t="s">
        <v>384</v>
      </c>
      <c r="AZ104" t="s">
        <v>384</v>
      </c>
      <c r="BA104" t="s">
        <v>385</v>
      </c>
      <c r="BB104" t="s">
        <v>384</v>
      </c>
      <c r="BC104" t="s">
        <v>384</v>
      </c>
      <c r="BD104" t="s">
        <v>384</v>
      </c>
      <c r="BI104" t="s">
        <v>588</v>
      </c>
    </row>
    <row r="105" spans="1:61" x14ac:dyDescent="0.2">
      <c r="A105">
        <v>0</v>
      </c>
      <c r="B105">
        <v>1089</v>
      </c>
      <c r="D105" t="s">
        <v>348</v>
      </c>
      <c r="E105" t="s">
        <v>591</v>
      </c>
      <c r="F105" t="s">
        <v>592</v>
      </c>
      <c r="G105" t="s">
        <v>378</v>
      </c>
      <c r="J105" t="s">
        <v>87</v>
      </c>
      <c r="K105" s="21">
        <v>46156</v>
      </c>
      <c r="L105" s="21">
        <v>46158</v>
      </c>
      <c r="P105" t="s">
        <v>379</v>
      </c>
      <c r="Q105" t="s">
        <v>379</v>
      </c>
      <c r="S105" t="s">
        <v>380</v>
      </c>
      <c r="T105">
        <v>7568</v>
      </c>
      <c r="U105" t="s">
        <v>381</v>
      </c>
      <c r="AA105" t="s">
        <v>5</v>
      </c>
      <c r="AC105">
        <v>1089</v>
      </c>
      <c r="AD105">
        <v>46221</v>
      </c>
      <c r="AE105">
        <v>46161</v>
      </c>
      <c r="AF105">
        <v>102</v>
      </c>
      <c r="AG105">
        <v>102</v>
      </c>
      <c r="AH105" t="s">
        <v>519</v>
      </c>
      <c r="AI105" t="b">
        <v>0</v>
      </c>
      <c r="AJ105" t="s">
        <v>593</v>
      </c>
      <c r="AK105" t="s">
        <v>384</v>
      </c>
      <c r="AL105" t="s">
        <v>385</v>
      </c>
      <c r="AM105" t="s">
        <v>385</v>
      </c>
      <c r="AN105" t="s">
        <v>384</v>
      </c>
      <c r="AO105" t="s">
        <v>384</v>
      </c>
      <c r="AP105" t="s">
        <v>384</v>
      </c>
      <c r="AQ105" t="s">
        <v>384</v>
      </c>
      <c r="AR105" t="s">
        <v>384</v>
      </c>
      <c r="AS105" t="s">
        <v>384</v>
      </c>
      <c r="AT105" t="s">
        <v>384</v>
      </c>
      <c r="AU105" t="s">
        <v>384</v>
      </c>
      <c r="AV105" t="s">
        <v>384</v>
      </c>
      <c r="AW105" t="s">
        <v>384</v>
      </c>
      <c r="AX105" t="s">
        <v>385</v>
      </c>
      <c r="AY105" t="s">
        <v>384</v>
      </c>
      <c r="AZ105" t="s">
        <v>384</v>
      </c>
      <c r="BA105" t="s">
        <v>385</v>
      </c>
      <c r="BB105" t="s">
        <v>384</v>
      </c>
      <c r="BC105" t="s">
        <v>384</v>
      </c>
      <c r="BD105" t="s">
        <v>384</v>
      </c>
      <c r="BI105" t="s">
        <v>591</v>
      </c>
    </row>
    <row r="106" spans="1:61" x14ac:dyDescent="0.2">
      <c r="A106">
        <v>0</v>
      </c>
      <c r="B106">
        <v>995</v>
      </c>
      <c r="D106" t="s">
        <v>348</v>
      </c>
      <c r="E106" t="s">
        <v>405</v>
      </c>
      <c r="F106" t="s">
        <v>406</v>
      </c>
      <c r="G106" t="s">
        <v>378</v>
      </c>
      <c r="J106" t="s">
        <v>87</v>
      </c>
      <c r="K106" s="21">
        <v>46158</v>
      </c>
      <c r="L106" s="21">
        <v>46158</v>
      </c>
      <c r="P106" t="s">
        <v>379</v>
      </c>
      <c r="Q106" t="s">
        <v>379</v>
      </c>
      <c r="T106">
        <v>5785</v>
      </c>
      <c r="U106" t="s">
        <v>381</v>
      </c>
      <c r="AA106" t="s">
        <v>5</v>
      </c>
      <c r="AC106">
        <v>995</v>
      </c>
      <c r="AD106">
        <v>46221</v>
      </c>
      <c r="AE106">
        <v>46161</v>
      </c>
      <c r="AF106">
        <v>102</v>
      </c>
      <c r="AG106">
        <v>102</v>
      </c>
      <c r="AH106" t="s">
        <v>519</v>
      </c>
      <c r="AI106" t="b">
        <v>0</v>
      </c>
      <c r="AJ106" t="s">
        <v>594</v>
      </c>
      <c r="AK106" t="s">
        <v>384</v>
      </c>
      <c r="AL106" t="s">
        <v>385</v>
      </c>
      <c r="AM106" t="s">
        <v>385</v>
      </c>
      <c r="AN106" t="s">
        <v>384</v>
      </c>
      <c r="AO106" t="s">
        <v>384</v>
      </c>
      <c r="AP106" t="s">
        <v>384</v>
      </c>
      <c r="AQ106" t="s">
        <v>384</v>
      </c>
      <c r="AR106" t="s">
        <v>384</v>
      </c>
      <c r="AS106" t="s">
        <v>384</v>
      </c>
      <c r="AT106" t="s">
        <v>384</v>
      </c>
      <c r="AU106" t="s">
        <v>384</v>
      </c>
      <c r="AV106" t="s">
        <v>384</v>
      </c>
      <c r="AW106" t="s">
        <v>384</v>
      </c>
      <c r="AX106" t="s">
        <v>385</v>
      </c>
      <c r="AY106" t="s">
        <v>384</v>
      </c>
      <c r="AZ106" t="s">
        <v>384</v>
      </c>
      <c r="BA106" t="s">
        <v>385</v>
      </c>
      <c r="BB106" t="s">
        <v>384</v>
      </c>
      <c r="BC106" t="s">
        <v>384</v>
      </c>
      <c r="BD106" t="s">
        <v>384</v>
      </c>
      <c r="BI106" t="s">
        <v>405</v>
      </c>
    </row>
    <row r="107" spans="1:61" x14ac:dyDescent="0.2">
      <c r="A107">
        <v>0</v>
      </c>
      <c r="B107">
        <v>954</v>
      </c>
      <c r="D107" t="s">
        <v>348</v>
      </c>
      <c r="E107" t="s">
        <v>409</v>
      </c>
      <c r="F107" t="s">
        <v>410</v>
      </c>
      <c r="G107" t="s">
        <v>378</v>
      </c>
      <c r="J107" t="s">
        <v>87</v>
      </c>
      <c r="K107" s="21">
        <v>46159</v>
      </c>
      <c r="L107" s="21">
        <v>46159</v>
      </c>
      <c r="P107" t="s">
        <v>379</v>
      </c>
      <c r="Q107" t="s">
        <v>379</v>
      </c>
      <c r="T107">
        <v>5744</v>
      </c>
      <c r="U107" t="s">
        <v>381</v>
      </c>
      <c r="AA107" t="s">
        <v>5</v>
      </c>
      <c r="AC107">
        <v>954</v>
      </c>
      <c r="AD107">
        <v>46221</v>
      </c>
      <c r="AE107">
        <v>46161</v>
      </c>
      <c r="AF107">
        <v>102</v>
      </c>
      <c r="AG107">
        <v>102</v>
      </c>
      <c r="AH107" t="s">
        <v>519</v>
      </c>
      <c r="AI107" t="b">
        <v>0</v>
      </c>
      <c r="AJ107" t="s">
        <v>595</v>
      </c>
      <c r="AK107" t="s">
        <v>384</v>
      </c>
      <c r="AL107" t="s">
        <v>385</v>
      </c>
      <c r="AM107" t="s">
        <v>385</v>
      </c>
      <c r="AN107" t="s">
        <v>384</v>
      </c>
      <c r="AO107" t="s">
        <v>384</v>
      </c>
      <c r="AP107" t="s">
        <v>384</v>
      </c>
      <c r="AQ107" t="s">
        <v>384</v>
      </c>
      <c r="AR107" t="s">
        <v>384</v>
      </c>
      <c r="AS107" t="s">
        <v>384</v>
      </c>
      <c r="AT107" t="s">
        <v>384</v>
      </c>
      <c r="AU107" t="s">
        <v>384</v>
      </c>
      <c r="AV107" t="s">
        <v>384</v>
      </c>
      <c r="AW107" t="s">
        <v>384</v>
      </c>
      <c r="AX107" t="s">
        <v>385</v>
      </c>
      <c r="AY107" t="s">
        <v>384</v>
      </c>
      <c r="AZ107" t="s">
        <v>384</v>
      </c>
      <c r="BA107" t="s">
        <v>385</v>
      </c>
      <c r="BB107" t="s">
        <v>384</v>
      </c>
      <c r="BC107" t="s">
        <v>384</v>
      </c>
      <c r="BD107" t="s">
        <v>384</v>
      </c>
      <c r="BI107" t="s">
        <v>409</v>
      </c>
    </row>
    <row r="108" spans="1:61" x14ac:dyDescent="0.2">
      <c r="A108">
        <v>0</v>
      </c>
      <c r="B108">
        <v>974</v>
      </c>
      <c r="D108" t="s">
        <v>348</v>
      </c>
      <c r="E108" t="s">
        <v>440</v>
      </c>
      <c r="F108" t="s">
        <v>406</v>
      </c>
      <c r="G108" t="s">
        <v>378</v>
      </c>
      <c r="J108" t="s">
        <v>87</v>
      </c>
      <c r="K108" s="21">
        <v>46159</v>
      </c>
      <c r="L108" s="21">
        <v>46159</v>
      </c>
      <c r="P108" t="s">
        <v>379</v>
      </c>
      <c r="Q108" t="s">
        <v>379</v>
      </c>
      <c r="T108">
        <v>5764</v>
      </c>
      <c r="U108" t="s">
        <v>381</v>
      </c>
      <c r="Z108" t="s">
        <v>413</v>
      </c>
      <c r="AA108" t="s">
        <v>5</v>
      </c>
      <c r="AC108">
        <v>974</v>
      </c>
      <c r="AD108">
        <v>46221</v>
      </c>
      <c r="AE108">
        <v>46161</v>
      </c>
      <c r="AF108">
        <v>102</v>
      </c>
      <c r="AG108">
        <v>102</v>
      </c>
      <c r="AH108" t="s">
        <v>382</v>
      </c>
      <c r="AI108" t="b">
        <v>0</v>
      </c>
      <c r="AJ108" t="s">
        <v>596</v>
      </c>
      <c r="AK108" t="s">
        <v>384</v>
      </c>
      <c r="AL108" t="s">
        <v>385</v>
      </c>
      <c r="AM108" t="s">
        <v>385</v>
      </c>
      <c r="AN108" t="s">
        <v>384</v>
      </c>
      <c r="AO108" t="s">
        <v>384</v>
      </c>
      <c r="AP108" t="s">
        <v>384</v>
      </c>
      <c r="AQ108" t="s">
        <v>384</v>
      </c>
      <c r="AR108" t="s">
        <v>384</v>
      </c>
      <c r="AS108" t="s">
        <v>384</v>
      </c>
      <c r="AT108" t="s">
        <v>384</v>
      </c>
      <c r="AU108" t="s">
        <v>384</v>
      </c>
      <c r="AV108" t="s">
        <v>384</v>
      </c>
      <c r="AW108" t="s">
        <v>384</v>
      </c>
      <c r="AX108" t="s">
        <v>385</v>
      </c>
      <c r="AY108" t="s">
        <v>384</v>
      </c>
      <c r="AZ108" t="s">
        <v>384</v>
      </c>
      <c r="BA108" t="s">
        <v>385</v>
      </c>
      <c r="BB108" t="s">
        <v>384</v>
      </c>
      <c r="BC108" t="s">
        <v>384</v>
      </c>
      <c r="BD108" t="s">
        <v>384</v>
      </c>
      <c r="BI108" t="s">
        <v>440</v>
      </c>
    </row>
    <row r="109" spans="1:61" x14ac:dyDescent="0.2">
      <c r="A109">
        <v>0</v>
      </c>
      <c r="B109">
        <v>983</v>
      </c>
      <c r="D109" t="s">
        <v>348</v>
      </c>
      <c r="E109" t="s">
        <v>442</v>
      </c>
      <c r="F109" t="s">
        <v>406</v>
      </c>
      <c r="G109" t="s">
        <v>378</v>
      </c>
      <c r="J109" t="s">
        <v>87</v>
      </c>
      <c r="K109" s="21">
        <v>46161</v>
      </c>
      <c r="L109" s="21">
        <v>46161</v>
      </c>
      <c r="P109" t="s">
        <v>379</v>
      </c>
      <c r="Q109" t="s">
        <v>379</v>
      </c>
      <c r="T109">
        <v>5773</v>
      </c>
      <c r="U109" t="s">
        <v>381</v>
      </c>
      <c r="AA109" t="s">
        <v>5</v>
      </c>
      <c r="AC109">
        <v>983</v>
      </c>
      <c r="AD109">
        <v>46221</v>
      </c>
      <c r="AE109">
        <v>46161</v>
      </c>
      <c r="AF109">
        <v>102</v>
      </c>
      <c r="AG109">
        <v>102</v>
      </c>
      <c r="AH109" t="s">
        <v>519</v>
      </c>
      <c r="AI109" t="b">
        <v>0</v>
      </c>
      <c r="AJ109" t="s">
        <v>597</v>
      </c>
      <c r="AK109" t="s">
        <v>384</v>
      </c>
      <c r="AL109" t="s">
        <v>385</v>
      </c>
      <c r="AM109" t="s">
        <v>385</v>
      </c>
      <c r="AN109" t="s">
        <v>384</v>
      </c>
      <c r="AO109" t="s">
        <v>384</v>
      </c>
      <c r="AP109" t="s">
        <v>384</v>
      </c>
      <c r="AQ109" t="s">
        <v>384</v>
      </c>
      <c r="AR109" t="s">
        <v>384</v>
      </c>
      <c r="AS109" t="s">
        <v>384</v>
      </c>
      <c r="AT109" t="s">
        <v>384</v>
      </c>
      <c r="AU109" t="s">
        <v>384</v>
      </c>
      <c r="AV109" t="s">
        <v>384</v>
      </c>
      <c r="AW109" t="s">
        <v>384</v>
      </c>
      <c r="AX109" t="s">
        <v>385</v>
      </c>
      <c r="AY109" t="s">
        <v>384</v>
      </c>
      <c r="AZ109" t="s">
        <v>384</v>
      </c>
      <c r="BA109" t="s">
        <v>385</v>
      </c>
      <c r="BB109" t="s">
        <v>384</v>
      </c>
      <c r="BC109" t="s">
        <v>384</v>
      </c>
      <c r="BD109" t="s">
        <v>384</v>
      </c>
      <c r="BI109" t="s">
        <v>442</v>
      </c>
    </row>
    <row r="110" spans="1:61" x14ac:dyDescent="0.2">
      <c r="A110">
        <v>0</v>
      </c>
      <c r="B110">
        <v>931</v>
      </c>
      <c r="D110" t="s">
        <v>348</v>
      </c>
      <c r="E110" t="s">
        <v>445</v>
      </c>
      <c r="F110" t="s">
        <v>406</v>
      </c>
      <c r="G110" t="s">
        <v>378</v>
      </c>
      <c r="J110" t="s">
        <v>87</v>
      </c>
      <c r="K110" s="21">
        <v>46162</v>
      </c>
      <c r="L110" s="21">
        <v>46162</v>
      </c>
      <c r="P110" t="s">
        <v>379</v>
      </c>
      <c r="Q110" t="s">
        <v>379</v>
      </c>
      <c r="S110" t="s">
        <v>132</v>
      </c>
      <c r="T110">
        <v>5721</v>
      </c>
      <c r="U110" t="s">
        <v>381</v>
      </c>
      <c r="AA110" t="s">
        <v>5</v>
      </c>
      <c r="AC110">
        <v>931</v>
      </c>
      <c r="AD110">
        <v>46221</v>
      </c>
      <c r="AE110">
        <v>46161</v>
      </c>
      <c r="AF110">
        <v>102</v>
      </c>
      <c r="AG110">
        <v>102</v>
      </c>
      <c r="AH110" t="s">
        <v>519</v>
      </c>
      <c r="AI110" t="b">
        <v>0</v>
      </c>
      <c r="AJ110" t="s">
        <v>598</v>
      </c>
      <c r="AK110" t="s">
        <v>384</v>
      </c>
      <c r="AL110" t="s">
        <v>385</v>
      </c>
      <c r="AM110" t="s">
        <v>385</v>
      </c>
      <c r="AN110" t="s">
        <v>384</v>
      </c>
      <c r="AO110" t="s">
        <v>384</v>
      </c>
      <c r="AP110" t="s">
        <v>384</v>
      </c>
      <c r="AQ110" t="s">
        <v>384</v>
      </c>
      <c r="AR110" t="s">
        <v>384</v>
      </c>
      <c r="AS110" t="s">
        <v>384</v>
      </c>
      <c r="AT110" t="s">
        <v>384</v>
      </c>
      <c r="AU110" t="s">
        <v>384</v>
      </c>
      <c r="AV110" t="s">
        <v>384</v>
      </c>
      <c r="AW110" t="s">
        <v>384</v>
      </c>
      <c r="AX110" t="s">
        <v>385</v>
      </c>
      <c r="AY110" t="s">
        <v>384</v>
      </c>
      <c r="AZ110" t="s">
        <v>384</v>
      </c>
      <c r="BA110" t="s">
        <v>385</v>
      </c>
      <c r="BB110" t="s">
        <v>384</v>
      </c>
      <c r="BC110" t="s">
        <v>384</v>
      </c>
      <c r="BD110" t="s">
        <v>384</v>
      </c>
      <c r="BI110" t="s">
        <v>445</v>
      </c>
    </row>
    <row r="111" spans="1:61" x14ac:dyDescent="0.2">
      <c r="A111">
        <v>0</v>
      </c>
      <c r="B111">
        <v>1090</v>
      </c>
      <c r="D111" t="s">
        <v>348</v>
      </c>
      <c r="E111" t="s">
        <v>465</v>
      </c>
      <c r="F111" t="s">
        <v>599</v>
      </c>
      <c r="G111" t="s">
        <v>378</v>
      </c>
      <c r="J111" t="s">
        <v>87</v>
      </c>
      <c r="K111" s="21">
        <v>46162</v>
      </c>
      <c r="L111" s="21">
        <v>46162</v>
      </c>
      <c r="P111" t="s">
        <v>379</v>
      </c>
      <c r="Q111" t="s">
        <v>379</v>
      </c>
      <c r="S111" t="s">
        <v>380</v>
      </c>
      <c r="T111">
        <v>7569</v>
      </c>
      <c r="U111" t="s">
        <v>381</v>
      </c>
      <c r="AA111" t="s">
        <v>5</v>
      </c>
      <c r="AC111">
        <v>1090</v>
      </c>
      <c r="AD111">
        <v>46221</v>
      </c>
      <c r="AE111">
        <v>46161</v>
      </c>
      <c r="AF111">
        <v>102</v>
      </c>
      <c r="AG111">
        <v>102</v>
      </c>
      <c r="AH111" t="s">
        <v>519</v>
      </c>
      <c r="AI111" t="b">
        <v>0</v>
      </c>
      <c r="AJ111" t="s">
        <v>600</v>
      </c>
      <c r="AK111" t="s">
        <v>384</v>
      </c>
      <c r="AL111" t="s">
        <v>385</v>
      </c>
      <c r="AM111" t="s">
        <v>385</v>
      </c>
      <c r="AN111" t="s">
        <v>384</v>
      </c>
      <c r="AO111" t="s">
        <v>384</v>
      </c>
      <c r="AP111" t="s">
        <v>384</v>
      </c>
      <c r="AQ111" t="s">
        <v>384</v>
      </c>
      <c r="AR111" t="s">
        <v>384</v>
      </c>
      <c r="AS111" t="s">
        <v>384</v>
      </c>
      <c r="AT111" t="s">
        <v>384</v>
      </c>
      <c r="AU111" t="s">
        <v>384</v>
      </c>
      <c r="AV111" t="s">
        <v>384</v>
      </c>
      <c r="AW111" t="s">
        <v>384</v>
      </c>
      <c r="AX111" t="s">
        <v>385</v>
      </c>
      <c r="AY111" t="s">
        <v>384</v>
      </c>
      <c r="AZ111" t="s">
        <v>384</v>
      </c>
      <c r="BA111" t="s">
        <v>385</v>
      </c>
      <c r="BB111" t="s">
        <v>384</v>
      </c>
      <c r="BC111" t="s">
        <v>384</v>
      </c>
      <c r="BD111" t="s">
        <v>384</v>
      </c>
      <c r="BI111" t="s">
        <v>465</v>
      </c>
    </row>
    <row r="112" spans="1:61" x14ac:dyDescent="0.2">
      <c r="A112">
        <v>0</v>
      </c>
      <c r="B112">
        <v>1143</v>
      </c>
      <c r="D112" t="s">
        <v>348</v>
      </c>
      <c r="E112" t="s">
        <v>465</v>
      </c>
      <c r="F112" t="s">
        <v>599</v>
      </c>
      <c r="G112" t="s">
        <v>378</v>
      </c>
      <c r="J112" t="s">
        <v>87</v>
      </c>
      <c r="K112" s="21">
        <v>46162</v>
      </c>
      <c r="L112" s="21">
        <v>46162</v>
      </c>
      <c r="P112" t="s">
        <v>379</v>
      </c>
      <c r="Q112" t="s">
        <v>379</v>
      </c>
      <c r="T112">
        <v>7721</v>
      </c>
      <c r="U112" t="s">
        <v>381</v>
      </c>
      <c r="AA112" t="s">
        <v>5</v>
      </c>
      <c r="AC112">
        <v>1143</v>
      </c>
      <c r="AD112">
        <v>46221</v>
      </c>
      <c r="AE112">
        <v>46161</v>
      </c>
      <c r="AF112">
        <v>102</v>
      </c>
      <c r="AG112">
        <v>102</v>
      </c>
      <c r="AH112" t="s">
        <v>519</v>
      </c>
      <c r="AI112" t="b">
        <v>0</v>
      </c>
      <c r="AJ112" t="s">
        <v>601</v>
      </c>
      <c r="AK112" t="s">
        <v>384</v>
      </c>
      <c r="AL112" t="s">
        <v>385</v>
      </c>
      <c r="AM112" t="s">
        <v>385</v>
      </c>
      <c r="AN112" t="s">
        <v>384</v>
      </c>
      <c r="AO112" t="s">
        <v>384</v>
      </c>
      <c r="AP112" t="s">
        <v>384</v>
      </c>
      <c r="AQ112" t="s">
        <v>384</v>
      </c>
      <c r="AR112" t="s">
        <v>384</v>
      </c>
      <c r="AS112" t="s">
        <v>384</v>
      </c>
      <c r="AT112" t="s">
        <v>384</v>
      </c>
      <c r="AU112" t="s">
        <v>384</v>
      </c>
      <c r="AV112" t="s">
        <v>384</v>
      </c>
      <c r="AW112" t="s">
        <v>384</v>
      </c>
      <c r="AX112" t="s">
        <v>385</v>
      </c>
      <c r="AY112" t="s">
        <v>384</v>
      </c>
      <c r="AZ112" t="s">
        <v>384</v>
      </c>
      <c r="BA112" t="s">
        <v>385</v>
      </c>
      <c r="BB112" t="s">
        <v>384</v>
      </c>
      <c r="BC112" t="s">
        <v>384</v>
      </c>
      <c r="BD112" t="s">
        <v>384</v>
      </c>
      <c r="BI112" t="s">
        <v>465</v>
      </c>
    </row>
    <row r="113" spans="1:61" x14ac:dyDescent="0.2">
      <c r="A113">
        <v>0</v>
      </c>
      <c r="B113">
        <v>1091</v>
      </c>
      <c r="D113" t="s">
        <v>348</v>
      </c>
      <c r="E113" t="s">
        <v>431</v>
      </c>
      <c r="F113" t="s">
        <v>602</v>
      </c>
      <c r="G113" t="s">
        <v>378</v>
      </c>
      <c r="J113" t="s">
        <v>87</v>
      </c>
      <c r="K113" s="21">
        <v>46163</v>
      </c>
      <c r="L113" s="21">
        <v>46165</v>
      </c>
      <c r="P113" t="s">
        <v>379</v>
      </c>
      <c r="Q113" t="s">
        <v>379</v>
      </c>
      <c r="S113" t="s">
        <v>380</v>
      </c>
      <c r="T113">
        <v>7570</v>
      </c>
      <c r="U113" t="s">
        <v>381</v>
      </c>
      <c r="AA113" t="s">
        <v>5</v>
      </c>
      <c r="AC113">
        <v>1091</v>
      </c>
      <c r="AD113">
        <v>46221</v>
      </c>
      <c r="AE113">
        <v>46161</v>
      </c>
      <c r="AF113">
        <v>102</v>
      </c>
      <c r="AG113">
        <v>102</v>
      </c>
      <c r="AH113" t="s">
        <v>519</v>
      </c>
      <c r="AI113" t="b">
        <v>0</v>
      </c>
      <c r="AJ113" t="s">
        <v>603</v>
      </c>
      <c r="AK113" t="s">
        <v>384</v>
      </c>
      <c r="AL113" t="s">
        <v>385</v>
      </c>
      <c r="AM113" t="s">
        <v>385</v>
      </c>
      <c r="AN113" t="s">
        <v>384</v>
      </c>
      <c r="AO113" t="s">
        <v>384</v>
      </c>
      <c r="AP113" t="s">
        <v>384</v>
      </c>
      <c r="AQ113" t="s">
        <v>384</v>
      </c>
      <c r="AR113" t="s">
        <v>384</v>
      </c>
      <c r="AS113" t="s">
        <v>384</v>
      </c>
      <c r="AT113" t="s">
        <v>384</v>
      </c>
      <c r="AU113" t="s">
        <v>384</v>
      </c>
      <c r="AV113" t="s">
        <v>384</v>
      </c>
      <c r="AW113" t="s">
        <v>384</v>
      </c>
      <c r="AX113" t="s">
        <v>385</v>
      </c>
      <c r="AY113" t="s">
        <v>384</v>
      </c>
      <c r="AZ113" t="s">
        <v>384</v>
      </c>
      <c r="BA113" t="s">
        <v>385</v>
      </c>
      <c r="BB113" t="s">
        <v>384</v>
      </c>
      <c r="BC113" t="s">
        <v>384</v>
      </c>
      <c r="BD113" t="s">
        <v>384</v>
      </c>
      <c r="BI113" t="s">
        <v>431</v>
      </c>
    </row>
    <row r="114" spans="1:61" x14ac:dyDescent="0.2">
      <c r="A114">
        <v>0</v>
      </c>
      <c r="B114">
        <v>1093</v>
      </c>
      <c r="D114" t="s">
        <v>348</v>
      </c>
      <c r="E114" t="s">
        <v>389</v>
      </c>
      <c r="F114" t="s">
        <v>604</v>
      </c>
      <c r="G114" t="s">
        <v>378</v>
      </c>
      <c r="J114" t="s">
        <v>87</v>
      </c>
      <c r="K114" s="21">
        <v>46163</v>
      </c>
      <c r="L114" s="21">
        <v>46165</v>
      </c>
      <c r="P114" t="s">
        <v>379</v>
      </c>
      <c r="Q114" t="s">
        <v>379</v>
      </c>
      <c r="S114" t="s">
        <v>380</v>
      </c>
      <c r="T114">
        <v>7572</v>
      </c>
      <c r="U114" t="s">
        <v>381</v>
      </c>
      <c r="AA114" t="s">
        <v>5</v>
      </c>
      <c r="AC114">
        <v>1093</v>
      </c>
      <c r="AD114">
        <v>46221</v>
      </c>
      <c r="AE114">
        <v>46161</v>
      </c>
      <c r="AF114">
        <v>102</v>
      </c>
      <c r="AG114">
        <v>102</v>
      </c>
      <c r="AH114" t="s">
        <v>519</v>
      </c>
      <c r="AI114" t="b">
        <v>0</v>
      </c>
      <c r="AJ114" t="s">
        <v>605</v>
      </c>
      <c r="AK114" t="s">
        <v>384</v>
      </c>
      <c r="AL114" t="s">
        <v>385</v>
      </c>
      <c r="AM114" t="s">
        <v>385</v>
      </c>
      <c r="AN114" t="s">
        <v>384</v>
      </c>
      <c r="AO114" t="s">
        <v>384</v>
      </c>
      <c r="AP114" t="s">
        <v>384</v>
      </c>
      <c r="AQ114" t="s">
        <v>384</v>
      </c>
      <c r="AR114" t="s">
        <v>384</v>
      </c>
      <c r="AS114" t="s">
        <v>384</v>
      </c>
      <c r="AT114" t="s">
        <v>384</v>
      </c>
      <c r="AU114" t="s">
        <v>384</v>
      </c>
      <c r="AV114" t="s">
        <v>384</v>
      </c>
      <c r="AW114" t="s">
        <v>384</v>
      </c>
      <c r="AX114" t="s">
        <v>385</v>
      </c>
      <c r="AY114" t="s">
        <v>384</v>
      </c>
      <c r="AZ114" t="s">
        <v>384</v>
      </c>
      <c r="BA114" t="s">
        <v>385</v>
      </c>
      <c r="BB114" t="s">
        <v>384</v>
      </c>
      <c r="BC114" t="s">
        <v>384</v>
      </c>
      <c r="BD114" t="s">
        <v>384</v>
      </c>
      <c r="BI114" t="s">
        <v>389</v>
      </c>
    </row>
    <row r="115" spans="1:61" x14ac:dyDescent="0.2">
      <c r="A115">
        <v>0</v>
      </c>
      <c r="B115">
        <v>1092</v>
      </c>
      <c r="D115" t="s">
        <v>348</v>
      </c>
      <c r="E115" t="s">
        <v>392</v>
      </c>
      <c r="F115" t="s">
        <v>606</v>
      </c>
      <c r="G115" t="s">
        <v>378</v>
      </c>
      <c r="J115" t="s">
        <v>87</v>
      </c>
      <c r="K115" s="21">
        <v>46163</v>
      </c>
      <c r="L115" s="21">
        <v>46165</v>
      </c>
      <c r="P115" t="s">
        <v>379</v>
      </c>
      <c r="Q115" t="s">
        <v>379</v>
      </c>
      <c r="S115" t="s">
        <v>380</v>
      </c>
      <c r="T115">
        <v>7571</v>
      </c>
      <c r="U115" t="s">
        <v>381</v>
      </c>
      <c r="AA115" t="s">
        <v>5</v>
      </c>
      <c r="AC115">
        <v>1092</v>
      </c>
      <c r="AD115">
        <v>46221</v>
      </c>
      <c r="AE115">
        <v>46161</v>
      </c>
      <c r="AF115">
        <v>102</v>
      </c>
      <c r="AG115">
        <v>102</v>
      </c>
      <c r="AH115" t="s">
        <v>519</v>
      </c>
      <c r="AI115" t="b">
        <v>0</v>
      </c>
      <c r="AJ115" t="s">
        <v>607</v>
      </c>
      <c r="AK115" t="s">
        <v>384</v>
      </c>
      <c r="AL115" t="s">
        <v>385</v>
      </c>
      <c r="AM115" t="s">
        <v>385</v>
      </c>
      <c r="AN115" t="s">
        <v>384</v>
      </c>
      <c r="AO115" t="s">
        <v>384</v>
      </c>
      <c r="AP115" t="s">
        <v>384</v>
      </c>
      <c r="AQ115" t="s">
        <v>384</v>
      </c>
      <c r="AR115" t="s">
        <v>384</v>
      </c>
      <c r="AS115" t="s">
        <v>384</v>
      </c>
      <c r="AT115" t="s">
        <v>384</v>
      </c>
      <c r="AU115" t="s">
        <v>384</v>
      </c>
      <c r="AV115" t="s">
        <v>384</v>
      </c>
      <c r="AW115" t="s">
        <v>384</v>
      </c>
      <c r="AX115" t="s">
        <v>385</v>
      </c>
      <c r="AY115" t="s">
        <v>384</v>
      </c>
      <c r="AZ115" t="s">
        <v>384</v>
      </c>
      <c r="BA115" t="s">
        <v>385</v>
      </c>
      <c r="BB115" t="s">
        <v>384</v>
      </c>
      <c r="BC115" t="s">
        <v>384</v>
      </c>
      <c r="BD115" t="s">
        <v>384</v>
      </c>
      <c r="BI115" t="s">
        <v>392</v>
      </c>
    </row>
    <row r="116" spans="1:61" x14ac:dyDescent="0.2">
      <c r="A116">
        <v>0</v>
      </c>
      <c r="B116">
        <v>890</v>
      </c>
      <c r="D116" t="s">
        <v>348</v>
      </c>
      <c r="E116" t="s">
        <v>608</v>
      </c>
      <c r="F116" t="s">
        <v>416</v>
      </c>
      <c r="G116" t="s">
        <v>378</v>
      </c>
      <c r="J116" t="s">
        <v>87</v>
      </c>
      <c r="K116" s="21">
        <v>46164</v>
      </c>
      <c r="L116" s="21">
        <v>46164</v>
      </c>
      <c r="P116" t="s">
        <v>379</v>
      </c>
      <c r="Q116" t="s">
        <v>379</v>
      </c>
      <c r="T116">
        <v>5679</v>
      </c>
      <c r="U116" t="s">
        <v>381</v>
      </c>
      <c r="AA116" t="s">
        <v>5</v>
      </c>
      <c r="AC116">
        <v>890</v>
      </c>
      <c r="AD116">
        <v>46221</v>
      </c>
      <c r="AE116">
        <v>46161</v>
      </c>
      <c r="AF116">
        <v>102</v>
      </c>
      <c r="AG116">
        <v>102</v>
      </c>
      <c r="AH116" t="s">
        <v>519</v>
      </c>
      <c r="AI116" t="b">
        <v>0</v>
      </c>
      <c r="AJ116" t="s">
        <v>609</v>
      </c>
      <c r="AK116" t="s">
        <v>384</v>
      </c>
      <c r="AL116" t="s">
        <v>385</v>
      </c>
      <c r="AM116" t="s">
        <v>385</v>
      </c>
      <c r="AN116" t="s">
        <v>384</v>
      </c>
      <c r="AO116" t="s">
        <v>384</v>
      </c>
      <c r="AP116" t="s">
        <v>384</v>
      </c>
      <c r="AQ116" t="s">
        <v>384</v>
      </c>
      <c r="AR116" t="s">
        <v>384</v>
      </c>
      <c r="AS116" t="s">
        <v>384</v>
      </c>
      <c r="AT116" t="s">
        <v>384</v>
      </c>
      <c r="AU116" t="s">
        <v>384</v>
      </c>
      <c r="AV116" t="s">
        <v>384</v>
      </c>
      <c r="AW116" t="s">
        <v>384</v>
      </c>
      <c r="AX116" t="s">
        <v>385</v>
      </c>
      <c r="AY116" t="s">
        <v>384</v>
      </c>
      <c r="AZ116" t="s">
        <v>384</v>
      </c>
      <c r="BA116" t="s">
        <v>385</v>
      </c>
      <c r="BB116" t="s">
        <v>384</v>
      </c>
      <c r="BC116" t="s">
        <v>384</v>
      </c>
      <c r="BD116" t="s">
        <v>384</v>
      </c>
      <c r="BI116" t="s">
        <v>608</v>
      </c>
    </row>
    <row r="117" spans="1:61" x14ac:dyDescent="0.2">
      <c r="A117">
        <v>0</v>
      </c>
      <c r="B117">
        <v>891</v>
      </c>
      <c r="D117" t="s">
        <v>348</v>
      </c>
      <c r="E117" t="s">
        <v>610</v>
      </c>
      <c r="F117" t="s">
        <v>416</v>
      </c>
      <c r="G117" t="s">
        <v>378</v>
      </c>
      <c r="J117" t="s">
        <v>87</v>
      </c>
      <c r="K117" s="21">
        <v>46164</v>
      </c>
      <c r="L117" s="21">
        <v>46165</v>
      </c>
      <c r="P117" t="s">
        <v>379</v>
      </c>
      <c r="Q117" t="s">
        <v>379</v>
      </c>
      <c r="S117" t="s">
        <v>138</v>
      </c>
      <c r="T117">
        <v>5680</v>
      </c>
      <c r="U117" t="s">
        <v>381</v>
      </c>
      <c r="AA117" t="s">
        <v>5</v>
      </c>
      <c r="AC117">
        <v>891</v>
      </c>
      <c r="AD117">
        <v>46221</v>
      </c>
      <c r="AE117">
        <v>46161</v>
      </c>
      <c r="AF117">
        <v>102</v>
      </c>
      <c r="AG117">
        <v>102</v>
      </c>
      <c r="AH117" t="s">
        <v>519</v>
      </c>
      <c r="AI117" t="b">
        <v>0</v>
      </c>
      <c r="AJ117" t="s">
        <v>611</v>
      </c>
      <c r="AK117" t="s">
        <v>384</v>
      </c>
      <c r="AL117" t="s">
        <v>385</v>
      </c>
      <c r="AM117" t="s">
        <v>385</v>
      </c>
      <c r="AN117" t="s">
        <v>384</v>
      </c>
      <c r="AO117" t="s">
        <v>384</v>
      </c>
      <c r="AP117" t="s">
        <v>384</v>
      </c>
      <c r="AQ117" t="s">
        <v>384</v>
      </c>
      <c r="AR117" t="s">
        <v>384</v>
      </c>
      <c r="AS117" t="s">
        <v>384</v>
      </c>
      <c r="AT117" t="s">
        <v>384</v>
      </c>
      <c r="AU117" t="s">
        <v>384</v>
      </c>
      <c r="AV117" t="s">
        <v>384</v>
      </c>
      <c r="AW117" t="s">
        <v>384</v>
      </c>
      <c r="AX117" t="s">
        <v>385</v>
      </c>
      <c r="AY117" t="s">
        <v>384</v>
      </c>
      <c r="AZ117" t="s">
        <v>384</v>
      </c>
      <c r="BA117" t="s">
        <v>385</v>
      </c>
      <c r="BB117" t="s">
        <v>384</v>
      </c>
      <c r="BC117" t="s">
        <v>384</v>
      </c>
      <c r="BD117" t="s">
        <v>384</v>
      </c>
      <c r="BI117" t="s">
        <v>610</v>
      </c>
    </row>
    <row r="118" spans="1:61" x14ac:dyDescent="0.2">
      <c r="A118">
        <v>0</v>
      </c>
      <c r="B118">
        <v>1094</v>
      </c>
      <c r="D118" t="s">
        <v>348</v>
      </c>
      <c r="E118" t="s">
        <v>612</v>
      </c>
      <c r="F118" t="s">
        <v>613</v>
      </c>
      <c r="G118" t="s">
        <v>378</v>
      </c>
      <c r="J118" t="s">
        <v>87</v>
      </c>
      <c r="K118" s="21">
        <v>46164</v>
      </c>
      <c r="L118" s="21">
        <v>46165</v>
      </c>
      <c r="P118" t="s">
        <v>379</v>
      </c>
      <c r="Q118" t="s">
        <v>379</v>
      </c>
      <c r="S118" t="s">
        <v>380</v>
      </c>
      <c r="T118">
        <v>7573</v>
      </c>
      <c r="U118" t="s">
        <v>381</v>
      </c>
      <c r="AA118" t="s">
        <v>5</v>
      </c>
      <c r="AC118">
        <v>1094</v>
      </c>
      <c r="AD118">
        <v>46221</v>
      </c>
      <c r="AE118">
        <v>46161</v>
      </c>
      <c r="AF118">
        <v>102</v>
      </c>
      <c r="AG118">
        <v>102</v>
      </c>
      <c r="AH118" t="s">
        <v>519</v>
      </c>
      <c r="AI118" t="b">
        <v>0</v>
      </c>
      <c r="AJ118" t="s">
        <v>614</v>
      </c>
      <c r="AK118" t="s">
        <v>384</v>
      </c>
      <c r="AL118" t="s">
        <v>385</v>
      </c>
      <c r="AM118" t="s">
        <v>385</v>
      </c>
      <c r="AN118" t="s">
        <v>384</v>
      </c>
      <c r="AO118" t="s">
        <v>384</v>
      </c>
      <c r="AP118" t="s">
        <v>384</v>
      </c>
      <c r="AQ118" t="s">
        <v>384</v>
      </c>
      <c r="AR118" t="s">
        <v>384</v>
      </c>
      <c r="AS118" t="s">
        <v>384</v>
      </c>
      <c r="AT118" t="s">
        <v>384</v>
      </c>
      <c r="AU118" t="s">
        <v>384</v>
      </c>
      <c r="AV118" t="s">
        <v>384</v>
      </c>
      <c r="AW118" t="s">
        <v>384</v>
      </c>
      <c r="AX118" t="s">
        <v>385</v>
      </c>
      <c r="AY118" t="s">
        <v>384</v>
      </c>
      <c r="AZ118" t="s">
        <v>384</v>
      </c>
      <c r="BA118" t="s">
        <v>385</v>
      </c>
      <c r="BB118" t="s">
        <v>384</v>
      </c>
      <c r="BC118" t="s">
        <v>384</v>
      </c>
      <c r="BD118" t="s">
        <v>384</v>
      </c>
      <c r="BI118" t="s">
        <v>612</v>
      </c>
    </row>
    <row r="119" spans="1:61" x14ac:dyDescent="0.2">
      <c r="A119">
        <v>0</v>
      </c>
      <c r="B119">
        <v>942</v>
      </c>
      <c r="D119" t="s">
        <v>348</v>
      </c>
      <c r="E119" t="s">
        <v>418</v>
      </c>
      <c r="F119" t="s">
        <v>419</v>
      </c>
      <c r="G119" t="s">
        <v>378</v>
      </c>
      <c r="J119" t="s">
        <v>87</v>
      </c>
      <c r="K119" s="21">
        <v>46167</v>
      </c>
      <c r="L119" s="21">
        <v>46167</v>
      </c>
      <c r="P119" t="s">
        <v>379</v>
      </c>
      <c r="Q119" t="s">
        <v>379</v>
      </c>
      <c r="T119">
        <v>5732</v>
      </c>
      <c r="U119" t="s">
        <v>381</v>
      </c>
      <c r="AA119" t="s">
        <v>5</v>
      </c>
      <c r="AC119">
        <v>942</v>
      </c>
      <c r="AD119">
        <v>46221</v>
      </c>
      <c r="AE119">
        <v>46161</v>
      </c>
      <c r="AF119">
        <v>102</v>
      </c>
      <c r="AG119">
        <v>102</v>
      </c>
      <c r="AH119" t="s">
        <v>519</v>
      </c>
      <c r="AI119" t="b">
        <v>0</v>
      </c>
      <c r="AJ119" t="s">
        <v>615</v>
      </c>
      <c r="AK119" t="s">
        <v>384</v>
      </c>
      <c r="AL119" t="s">
        <v>385</v>
      </c>
      <c r="AM119" t="s">
        <v>385</v>
      </c>
      <c r="AN119" t="s">
        <v>384</v>
      </c>
      <c r="AO119" t="s">
        <v>384</v>
      </c>
      <c r="AP119" t="s">
        <v>384</v>
      </c>
      <c r="AQ119" t="s">
        <v>384</v>
      </c>
      <c r="AR119" t="s">
        <v>384</v>
      </c>
      <c r="AS119" t="s">
        <v>384</v>
      </c>
      <c r="AT119" t="s">
        <v>384</v>
      </c>
      <c r="AU119" t="s">
        <v>384</v>
      </c>
      <c r="AV119" t="s">
        <v>384</v>
      </c>
      <c r="AW119" t="s">
        <v>384</v>
      </c>
      <c r="AX119" t="s">
        <v>385</v>
      </c>
      <c r="AY119" t="s">
        <v>384</v>
      </c>
      <c r="AZ119" t="s">
        <v>384</v>
      </c>
      <c r="BA119" t="s">
        <v>385</v>
      </c>
      <c r="BB119" t="s">
        <v>384</v>
      </c>
      <c r="BC119" t="s">
        <v>384</v>
      </c>
      <c r="BD119" t="s">
        <v>384</v>
      </c>
      <c r="BI119" t="s">
        <v>418</v>
      </c>
    </row>
    <row r="120" spans="1:61" x14ac:dyDescent="0.2">
      <c r="A120">
        <v>0</v>
      </c>
      <c r="B120">
        <v>884</v>
      </c>
      <c r="D120" t="s">
        <v>348</v>
      </c>
      <c r="E120" t="s">
        <v>616</v>
      </c>
      <c r="F120" t="s">
        <v>617</v>
      </c>
      <c r="G120" t="s">
        <v>378</v>
      </c>
      <c r="J120" t="s">
        <v>87</v>
      </c>
      <c r="K120" s="21">
        <v>46172</v>
      </c>
      <c r="L120" s="21">
        <v>46172</v>
      </c>
      <c r="P120" t="s">
        <v>379</v>
      </c>
      <c r="Q120" t="s">
        <v>379</v>
      </c>
      <c r="T120">
        <v>5671</v>
      </c>
      <c r="U120" t="s">
        <v>381</v>
      </c>
      <c r="Z120" t="s">
        <v>413</v>
      </c>
      <c r="AA120" t="s">
        <v>5</v>
      </c>
      <c r="AC120">
        <v>884</v>
      </c>
      <c r="AD120">
        <v>46221</v>
      </c>
      <c r="AE120">
        <v>46161</v>
      </c>
      <c r="AF120">
        <v>102</v>
      </c>
      <c r="AG120">
        <v>102</v>
      </c>
      <c r="AH120" t="s">
        <v>382</v>
      </c>
      <c r="AI120" t="b">
        <v>0</v>
      </c>
      <c r="AJ120" t="s">
        <v>618</v>
      </c>
      <c r="AK120" t="s">
        <v>384</v>
      </c>
      <c r="AL120" t="s">
        <v>385</v>
      </c>
      <c r="AM120" t="s">
        <v>385</v>
      </c>
      <c r="AN120" t="s">
        <v>384</v>
      </c>
      <c r="AO120" t="s">
        <v>384</v>
      </c>
      <c r="AP120" t="s">
        <v>384</v>
      </c>
      <c r="AQ120" t="s">
        <v>384</v>
      </c>
      <c r="AR120" t="s">
        <v>384</v>
      </c>
      <c r="AS120" t="s">
        <v>384</v>
      </c>
      <c r="AT120" t="s">
        <v>384</v>
      </c>
      <c r="AU120" t="s">
        <v>384</v>
      </c>
      <c r="AV120" t="s">
        <v>384</v>
      </c>
      <c r="AW120" t="s">
        <v>384</v>
      </c>
      <c r="AX120" t="s">
        <v>385</v>
      </c>
      <c r="AY120" t="s">
        <v>384</v>
      </c>
      <c r="AZ120" t="s">
        <v>384</v>
      </c>
      <c r="BA120" t="s">
        <v>385</v>
      </c>
      <c r="BB120" t="s">
        <v>384</v>
      </c>
      <c r="BC120" t="s">
        <v>384</v>
      </c>
      <c r="BD120" t="s">
        <v>384</v>
      </c>
      <c r="BI120" t="s">
        <v>616</v>
      </c>
    </row>
    <row r="121" spans="1:61" x14ac:dyDescent="0.2">
      <c r="A121">
        <v>0</v>
      </c>
      <c r="B121">
        <v>1095</v>
      </c>
      <c r="D121" t="s">
        <v>348</v>
      </c>
      <c r="E121" t="s">
        <v>424</v>
      </c>
      <c r="F121" t="s">
        <v>425</v>
      </c>
      <c r="G121" t="s">
        <v>378</v>
      </c>
      <c r="J121" t="s">
        <v>87</v>
      </c>
      <c r="K121" s="21">
        <v>46174</v>
      </c>
      <c r="L121" s="21">
        <v>46174</v>
      </c>
      <c r="P121" t="s">
        <v>379</v>
      </c>
      <c r="Q121" t="s">
        <v>379</v>
      </c>
      <c r="S121" t="s">
        <v>380</v>
      </c>
      <c r="T121">
        <v>7574</v>
      </c>
      <c r="U121" t="s">
        <v>381</v>
      </c>
      <c r="AA121" t="s">
        <v>5</v>
      </c>
      <c r="AC121">
        <v>1095</v>
      </c>
      <c r="AD121">
        <v>46221</v>
      </c>
      <c r="AE121">
        <v>46161</v>
      </c>
      <c r="AF121">
        <v>102</v>
      </c>
      <c r="AG121">
        <v>102</v>
      </c>
      <c r="AH121" t="s">
        <v>519</v>
      </c>
      <c r="AI121" t="b">
        <v>0</v>
      </c>
      <c r="AJ121" t="s">
        <v>619</v>
      </c>
      <c r="AK121" t="s">
        <v>384</v>
      </c>
      <c r="AL121" t="s">
        <v>385</v>
      </c>
      <c r="AM121" t="s">
        <v>385</v>
      </c>
      <c r="AN121" t="s">
        <v>384</v>
      </c>
      <c r="AO121" t="s">
        <v>384</v>
      </c>
      <c r="AP121" t="s">
        <v>384</v>
      </c>
      <c r="AQ121" t="s">
        <v>384</v>
      </c>
      <c r="AR121" t="s">
        <v>384</v>
      </c>
      <c r="AS121" t="s">
        <v>384</v>
      </c>
      <c r="AT121" t="s">
        <v>384</v>
      </c>
      <c r="AU121" t="s">
        <v>384</v>
      </c>
      <c r="AV121" t="s">
        <v>384</v>
      </c>
      <c r="AW121" t="s">
        <v>384</v>
      </c>
      <c r="AX121" t="s">
        <v>385</v>
      </c>
      <c r="AY121" t="s">
        <v>384</v>
      </c>
      <c r="AZ121" t="s">
        <v>384</v>
      </c>
      <c r="BA121" t="s">
        <v>385</v>
      </c>
      <c r="BB121" t="s">
        <v>384</v>
      </c>
      <c r="BC121" t="s">
        <v>384</v>
      </c>
      <c r="BD121" t="s">
        <v>384</v>
      </c>
      <c r="BI121" t="s">
        <v>424</v>
      </c>
    </row>
    <row r="122" spans="1:61" x14ac:dyDescent="0.2">
      <c r="A122">
        <v>0</v>
      </c>
      <c r="B122">
        <v>1016</v>
      </c>
      <c r="D122" t="s">
        <v>348</v>
      </c>
      <c r="E122" t="s">
        <v>486</v>
      </c>
      <c r="F122" t="s">
        <v>487</v>
      </c>
      <c r="G122" t="s">
        <v>378</v>
      </c>
      <c r="J122" t="s">
        <v>87</v>
      </c>
      <c r="K122" s="21">
        <v>46175</v>
      </c>
      <c r="L122" s="21">
        <v>46177</v>
      </c>
      <c r="P122" t="s">
        <v>379</v>
      </c>
      <c r="Q122" t="s">
        <v>379</v>
      </c>
      <c r="S122" t="s">
        <v>380</v>
      </c>
      <c r="T122">
        <v>7163</v>
      </c>
      <c r="U122" t="s">
        <v>381</v>
      </c>
      <c r="AA122" t="s">
        <v>5</v>
      </c>
      <c r="AC122">
        <v>1016</v>
      </c>
      <c r="AD122">
        <v>46221</v>
      </c>
      <c r="AE122">
        <v>46161</v>
      </c>
      <c r="AF122">
        <v>102</v>
      </c>
      <c r="AG122">
        <v>102</v>
      </c>
      <c r="AH122" t="s">
        <v>414</v>
      </c>
      <c r="AI122" t="b">
        <v>0</v>
      </c>
      <c r="AJ122" t="s">
        <v>620</v>
      </c>
      <c r="AK122" t="s">
        <v>384</v>
      </c>
      <c r="AL122" t="s">
        <v>385</v>
      </c>
      <c r="AM122" t="s">
        <v>385</v>
      </c>
      <c r="AN122" t="s">
        <v>384</v>
      </c>
      <c r="AO122" t="s">
        <v>384</v>
      </c>
      <c r="AP122" t="s">
        <v>384</v>
      </c>
      <c r="AQ122" t="s">
        <v>384</v>
      </c>
      <c r="AR122" t="s">
        <v>384</v>
      </c>
      <c r="AS122" t="s">
        <v>384</v>
      </c>
      <c r="AT122" t="s">
        <v>384</v>
      </c>
      <c r="AU122" t="s">
        <v>384</v>
      </c>
      <c r="AV122" t="s">
        <v>384</v>
      </c>
      <c r="AW122" t="s">
        <v>384</v>
      </c>
      <c r="AX122" t="s">
        <v>385</v>
      </c>
      <c r="AY122" t="s">
        <v>384</v>
      </c>
      <c r="AZ122" t="s">
        <v>384</v>
      </c>
      <c r="BA122" t="s">
        <v>385</v>
      </c>
      <c r="BB122" t="s">
        <v>384</v>
      </c>
      <c r="BC122" t="s">
        <v>384</v>
      </c>
      <c r="BD122" t="s">
        <v>384</v>
      </c>
      <c r="BI122" t="s">
        <v>486</v>
      </c>
    </row>
    <row r="123" spans="1:61" x14ac:dyDescent="0.2">
      <c r="A123">
        <v>0</v>
      </c>
      <c r="B123">
        <v>1097</v>
      </c>
      <c r="D123" t="s">
        <v>348</v>
      </c>
      <c r="E123" t="s">
        <v>576</v>
      </c>
      <c r="F123" t="s">
        <v>577</v>
      </c>
      <c r="G123" t="s">
        <v>378</v>
      </c>
      <c r="J123" t="s">
        <v>87</v>
      </c>
      <c r="K123" s="21">
        <v>46177</v>
      </c>
      <c r="L123" s="21">
        <v>46177</v>
      </c>
      <c r="P123" t="s">
        <v>379</v>
      </c>
      <c r="Q123" t="s">
        <v>379</v>
      </c>
      <c r="S123" t="s">
        <v>380</v>
      </c>
      <c r="T123">
        <v>7576</v>
      </c>
      <c r="U123" t="s">
        <v>381</v>
      </c>
      <c r="AA123" t="s">
        <v>5</v>
      </c>
      <c r="AC123">
        <v>1097</v>
      </c>
      <c r="AD123">
        <v>46221</v>
      </c>
      <c r="AE123">
        <v>46161</v>
      </c>
      <c r="AF123">
        <v>102</v>
      </c>
      <c r="AG123">
        <v>102</v>
      </c>
      <c r="AH123" t="s">
        <v>519</v>
      </c>
      <c r="AI123" t="b">
        <v>0</v>
      </c>
      <c r="AJ123" t="s">
        <v>621</v>
      </c>
      <c r="AK123" t="s">
        <v>384</v>
      </c>
      <c r="AL123" t="s">
        <v>385</v>
      </c>
      <c r="AM123" t="s">
        <v>385</v>
      </c>
      <c r="AN123" t="s">
        <v>384</v>
      </c>
      <c r="AO123" t="s">
        <v>384</v>
      </c>
      <c r="AP123" t="s">
        <v>384</v>
      </c>
      <c r="AQ123" t="s">
        <v>384</v>
      </c>
      <c r="AR123" t="s">
        <v>384</v>
      </c>
      <c r="AS123" t="s">
        <v>384</v>
      </c>
      <c r="AT123" t="s">
        <v>384</v>
      </c>
      <c r="AU123" t="s">
        <v>384</v>
      </c>
      <c r="AV123" t="s">
        <v>384</v>
      </c>
      <c r="AW123" t="s">
        <v>384</v>
      </c>
      <c r="AX123" t="s">
        <v>385</v>
      </c>
      <c r="AY123" t="s">
        <v>384</v>
      </c>
      <c r="AZ123" t="s">
        <v>384</v>
      </c>
      <c r="BA123" t="s">
        <v>385</v>
      </c>
      <c r="BB123" t="s">
        <v>384</v>
      </c>
      <c r="BC123" t="s">
        <v>384</v>
      </c>
      <c r="BD123" t="s">
        <v>384</v>
      </c>
      <c r="BI123" t="s">
        <v>576</v>
      </c>
    </row>
    <row r="124" spans="1:61" x14ac:dyDescent="0.2">
      <c r="A124">
        <v>0</v>
      </c>
      <c r="B124">
        <v>1096</v>
      </c>
      <c r="D124" t="s">
        <v>348</v>
      </c>
      <c r="E124" t="s">
        <v>573</v>
      </c>
      <c r="F124" t="s">
        <v>574</v>
      </c>
      <c r="G124" t="s">
        <v>378</v>
      </c>
      <c r="J124" t="s">
        <v>87</v>
      </c>
      <c r="K124" s="21">
        <v>46177</v>
      </c>
      <c r="L124" s="21">
        <v>46177</v>
      </c>
      <c r="P124" t="s">
        <v>379</v>
      </c>
      <c r="Q124" t="s">
        <v>379</v>
      </c>
      <c r="S124" t="s">
        <v>380</v>
      </c>
      <c r="T124">
        <v>7575</v>
      </c>
      <c r="U124" t="s">
        <v>381</v>
      </c>
      <c r="AA124" t="s">
        <v>5</v>
      </c>
      <c r="AC124">
        <v>1096</v>
      </c>
      <c r="AD124">
        <v>46221</v>
      </c>
      <c r="AE124">
        <v>46161</v>
      </c>
      <c r="AF124">
        <v>102</v>
      </c>
      <c r="AG124">
        <v>102</v>
      </c>
      <c r="AH124" t="s">
        <v>519</v>
      </c>
      <c r="AI124" t="b">
        <v>0</v>
      </c>
      <c r="AJ124" t="s">
        <v>622</v>
      </c>
      <c r="AK124" t="s">
        <v>384</v>
      </c>
      <c r="AL124" t="s">
        <v>385</v>
      </c>
      <c r="AM124" t="s">
        <v>385</v>
      </c>
      <c r="AN124" t="s">
        <v>384</v>
      </c>
      <c r="AO124" t="s">
        <v>384</v>
      </c>
      <c r="AP124" t="s">
        <v>384</v>
      </c>
      <c r="AQ124" t="s">
        <v>384</v>
      </c>
      <c r="AR124" t="s">
        <v>384</v>
      </c>
      <c r="AS124" t="s">
        <v>384</v>
      </c>
      <c r="AT124" t="s">
        <v>384</v>
      </c>
      <c r="AU124" t="s">
        <v>384</v>
      </c>
      <c r="AV124" t="s">
        <v>384</v>
      </c>
      <c r="AW124" t="s">
        <v>384</v>
      </c>
      <c r="AX124" t="s">
        <v>385</v>
      </c>
      <c r="AY124" t="s">
        <v>384</v>
      </c>
      <c r="AZ124" t="s">
        <v>384</v>
      </c>
      <c r="BA124" t="s">
        <v>385</v>
      </c>
      <c r="BB124" t="s">
        <v>384</v>
      </c>
      <c r="BC124" t="s">
        <v>384</v>
      </c>
      <c r="BD124" t="s">
        <v>384</v>
      </c>
      <c r="BI124" t="s">
        <v>573</v>
      </c>
    </row>
    <row r="125" spans="1:61" x14ac:dyDescent="0.2">
      <c r="A125">
        <v>0</v>
      </c>
      <c r="B125">
        <v>877</v>
      </c>
      <c r="D125" t="s">
        <v>348</v>
      </c>
      <c r="E125" t="s">
        <v>623</v>
      </c>
      <c r="F125" t="s">
        <v>416</v>
      </c>
      <c r="G125" t="s">
        <v>378</v>
      </c>
      <c r="J125" t="s">
        <v>87</v>
      </c>
      <c r="K125" s="21">
        <v>46178</v>
      </c>
      <c r="L125" s="21">
        <v>46178</v>
      </c>
      <c r="P125" t="s">
        <v>379</v>
      </c>
      <c r="Q125" t="s">
        <v>379</v>
      </c>
      <c r="S125" t="s">
        <v>132</v>
      </c>
      <c r="T125">
        <v>5664</v>
      </c>
      <c r="U125" t="s">
        <v>381</v>
      </c>
      <c r="AA125" t="s">
        <v>5</v>
      </c>
      <c r="AC125">
        <v>877</v>
      </c>
      <c r="AD125">
        <v>46221</v>
      </c>
      <c r="AE125">
        <v>46161</v>
      </c>
      <c r="AF125">
        <v>102</v>
      </c>
      <c r="AG125">
        <v>102</v>
      </c>
      <c r="AH125" t="s">
        <v>519</v>
      </c>
      <c r="AI125" t="b">
        <v>0</v>
      </c>
      <c r="AJ125" t="s">
        <v>624</v>
      </c>
      <c r="AK125" t="s">
        <v>384</v>
      </c>
      <c r="AL125" t="s">
        <v>385</v>
      </c>
      <c r="AM125" t="s">
        <v>385</v>
      </c>
      <c r="AN125" t="s">
        <v>384</v>
      </c>
      <c r="AO125" t="s">
        <v>384</v>
      </c>
      <c r="AP125" t="s">
        <v>384</v>
      </c>
      <c r="AQ125" t="s">
        <v>384</v>
      </c>
      <c r="AR125" t="s">
        <v>384</v>
      </c>
      <c r="AS125" t="s">
        <v>384</v>
      </c>
      <c r="AT125" t="s">
        <v>384</v>
      </c>
      <c r="AU125" t="s">
        <v>384</v>
      </c>
      <c r="AV125" t="s">
        <v>384</v>
      </c>
      <c r="AW125" t="s">
        <v>384</v>
      </c>
      <c r="AX125" t="s">
        <v>385</v>
      </c>
      <c r="AY125" t="s">
        <v>384</v>
      </c>
      <c r="AZ125" t="s">
        <v>384</v>
      </c>
      <c r="BA125" t="s">
        <v>385</v>
      </c>
      <c r="BB125" t="s">
        <v>384</v>
      </c>
      <c r="BC125" t="s">
        <v>384</v>
      </c>
      <c r="BD125" t="s">
        <v>384</v>
      </c>
      <c r="BI125" t="s">
        <v>623</v>
      </c>
    </row>
    <row r="126" spans="1:61" x14ac:dyDescent="0.2">
      <c r="A126">
        <v>0</v>
      </c>
      <c r="B126">
        <v>1099</v>
      </c>
      <c r="D126" t="s">
        <v>348</v>
      </c>
      <c r="E126" t="s">
        <v>431</v>
      </c>
      <c r="F126" t="s">
        <v>625</v>
      </c>
      <c r="G126" t="s">
        <v>378</v>
      </c>
      <c r="J126" t="s">
        <v>87</v>
      </c>
      <c r="K126" s="21">
        <v>46184</v>
      </c>
      <c r="L126" s="21">
        <v>46186</v>
      </c>
      <c r="P126" t="s">
        <v>379</v>
      </c>
      <c r="Q126" t="s">
        <v>379</v>
      </c>
      <c r="S126" t="s">
        <v>380</v>
      </c>
      <c r="T126">
        <v>7578</v>
      </c>
      <c r="U126" t="s">
        <v>381</v>
      </c>
      <c r="AA126" t="s">
        <v>5</v>
      </c>
      <c r="AC126">
        <v>1099</v>
      </c>
      <c r="AD126">
        <v>46221</v>
      </c>
      <c r="AE126">
        <v>46161</v>
      </c>
      <c r="AF126">
        <v>102</v>
      </c>
      <c r="AG126">
        <v>102</v>
      </c>
      <c r="AH126" t="s">
        <v>519</v>
      </c>
      <c r="AI126" t="b">
        <v>0</v>
      </c>
      <c r="AJ126" t="s">
        <v>626</v>
      </c>
      <c r="AK126" t="s">
        <v>384</v>
      </c>
      <c r="AL126" t="s">
        <v>385</v>
      </c>
      <c r="AM126" t="s">
        <v>385</v>
      </c>
      <c r="AN126" t="s">
        <v>384</v>
      </c>
      <c r="AO126" t="s">
        <v>384</v>
      </c>
      <c r="AP126" t="s">
        <v>384</v>
      </c>
      <c r="AQ126" t="s">
        <v>384</v>
      </c>
      <c r="AR126" t="s">
        <v>384</v>
      </c>
      <c r="AS126" t="s">
        <v>384</v>
      </c>
      <c r="AT126" t="s">
        <v>384</v>
      </c>
      <c r="AU126" t="s">
        <v>384</v>
      </c>
      <c r="AV126" t="s">
        <v>384</v>
      </c>
      <c r="AW126" t="s">
        <v>384</v>
      </c>
      <c r="AX126" t="s">
        <v>385</v>
      </c>
      <c r="AY126" t="s">
        <v>384</v>
      </c>
      <c r="AZ126" t="s">
        <v>384</v>
      </c>
      <c r="BA126" t="s">
        <v>385</v>
      </c>
      <c r="BB126" t="s">
        <v>384</v>
      </c>
      <c r="BC126" t="s">
        <v>384</v>
      </c>
      <c r="BD126" t="s">
        <v>384</v>
      </c>
      <c r="BI126" t="s">
        <v>431</v>
      </c>
    </row>
    <row r="127" spans="1:61" x14ac:dyDescent="0.2">
      <c r="A127">
        <v>0</v>
      </c>
      <c r="B127">
        <v>896</v>
      </c>
      <c r="D127" t="s">
        <v>348</v>
      </c>
      <c r="E127" t="s">
        <v>534</v>
      </c>
      <c r="F127" t="s">
        <v>535</v>
      </c>
      <c r="G127" t="s">
        <v>378</v>
      </c>
      <c r="J127" t="s">
        <v>87</v>
      </c>
      <c r="K127" s="21">
        <v>46184</v>
      </c>
      <c r="L127" s="21">
        <v>46186</v>
      </c>
      <c r="P127" t="s">
        <v>379</v>
      </c>
      <c r="Q127" t="s">
        <v>379</v>
      </c>
      <c r="T127">
        <v>5685</v>
      </c>
      <c r="U127" t="s">
        <v>381</v>
      </c>
      <c r="AA127" t="s">
        <v>5</v>
      </c>
      <c r="AC127">
        <v>896</v>
      </c>
      <c r="AD127">
        <v>46221</v>
      </c>
      <c r="AE127">
        <v>46161</v>
      </c>
      <c r="AF127">
        <v>102</v>
      </c>
      <c r="AG127">
        <v>102</v>
      </c>
      <c r="AH127" t="s">
        <v>519</v>
      </c>
      <c r="AI127" t="b">
        <v>0</v>
      </c>
      <c r="AJ127" t="s">
        <v>627</v>
      </c>
      <c r="AK127" t="s">
        <v>384</v>
      </c>
      <c r="AL127" t="s">
        <v>385</v>
      </c>
      <c r="AM127" t="s">
        <v>385</v>
      </c>
      <c r="AN127" t="s">
        <v>384</v>
      </c>
      <c r="AO127" t="s">
        <v>384</v>
      </c>
      <c r="AP127" t="s">
        <v>384</v>
      </c>
      <c r="AQ127" t="s">
        <v>384</v>
      </c>
      <c r="AR127" t="s">
        <v>384</v>
      </c>
      <c r="AS127" t="s">
        <v>384</v>
      </c>
      <c r="AT127" t="s">
        <v>384</v>
      </c>
      <c r="AU127" t="s">
        <v>384</v>
      </c>
      <c r="AV127" t="s">
        <v>384</v>
      </c>
      <c r="AW127" t="s">
        <v>384</v>
      </c>
      <c r="AX127" t="s">
        <v>385</v>
      </c>
      <c r="AY127" t="s">
        <v>384</v>
      </c>
      <c r="AZ127" t="s">
        <v>384</v>
      </c>
      <c r="BA127" t="s">
        <v>385</v>
      </c>
      <c r="BB127" t="s">
        <v>384</v>
      </c>
      <c r="BC127" t="s">
        <v>384</v>
      </c>
      <c r="BD127" t="s">
        <v>384</v>
      </c>
      <c r="BI127" t="s">
        <v>534</v>
      </c>
    </row>
    <row r="128" spans="1:61" x14ac:dyDescent="0.2">
      <c r="A128">
        <v>0</v>
      </c>
      <c r="B128">
        <v>1098</v>
      </c>
      <c r="D128" t="s">
        <v>348</v>
      </c>
      <c r="E128" t="s">
        <v>502</v>
      </c>
      <c r="F128" t="s">
        <v>628</v>
      </c>
      <c r="G128" t="s">
        <v>378</v>
      </c>
      <c r="J128" t="s">
        <v>87</v>
      </c>
      <c r="K128" s="21">
        <v>46184</v>
      </c>
      <c r="L128" s="21">
        <v>46186</v>
      </c>
      <c r="P128" t="s">
        <v>379</v>
      </c>
      <c r="Q128" t="s">
        <v>379</v>
      </c>
      <c r="S128" t="s">
        <v>380</v>
      </c>
      <c r="T128">
        <v>7577</v>
      </c>
      <c r="U128" t="s">
        <v>381</v>
      </c>
      <c r="AA128" t="s">
        <v>5</v>
      </c>
      <c r="AC128">
        <v>1098</v>
      </c>
      <c r="AD128">
        <v>46221</v>
      </c>
      <c r="AE128">
        <v>46161</v>
      </c>
      <c r="AF128">
        <v>102</v>
      </c>
      <c r="AG128">
        <v>102</v>
      </c>
      <c r="AH128" t="s">
        <v>519</v>
      </c>
      <c r="AI128" t="b">
        <v>0</v>
      </c>
      <c r="AJ128" t="s">
        <v>629</v>
      </c>
      <c r="AK128" t="s">
        <v>384</v>
      </c>
      <c r="AL128" t="s">
        <v>385</v>
      </c>
      <c r="AM128" t="s">
        <v>385</v>
      </c>
      <c r="AN128" t="s">
        <v>384</v>
      </c>
      <c r="AO128" t="s">
        <v>384</v>
      </c>
      <c r="AP128" t="s">
        <v>384</v>
      </c>
      <c r="AQ128" t="s">
        <v>384</v>
      </c>
      <c r="AR128" t="s">
        <v>384</v>
      </c>
      <c r="AS128" t="s">
        <v>384</v>
      </c>
      <c r="AT128" t="s">
        <v>384</v>
      </c>
      <c r="AU128" t="s">
        <v>384</v>
      </c>
      <c r="AV128" t="s">
        <v>384</v>
      </c>
      <c r="AW128" t="s">
        <v>384</v>
      </c>
      <c r="AX128" t="s">
        <v>385</v>
      </c>
      <c r="AY128" t="s">
        <v>384</v>
      </c>
      <c r="AZ128" t="s">
        <v>384</v>
      </c>
      <c r="BA128" t="s">
        <v>385</v>
      </c>
      <c r="BB128" t="s">
        <v>384</v>
      </c>
      <c r="BC128" t="s">
        <v>384</v>
      </c>
      <c r="BD128" t="s">
        <v>384</v>
      </c>
      <c r="BI128" t="s">
        <v>502</v>
      </c>
    </row>
    <row r="129" spans="1:61" x14ac:dyDescent="0.2">
      <c r="A129">
        <v>0</v>
      </c>
      <c r="B129">
        <v>1100</v>
      </c>
      <c r="D129" t="s">
        <v>348</v>
      </c>
      <c r="E129" t="s">
        <v>386</v>
      </c>
      <c r="F129" t="s">
        <v>630</v>
      </c>
      <c r="G129" t="s">
        <v>378</v>
      </c>
      <c r="J129" t="s">
        <v>87</v>
      </c>
      <c r="K129" s="21">
        <v>46185</v>
      </c>
      <c r="L129" s="21">
        <v>46185</v>
      </c>
      <c r="P129" t="s">
        <v>379</v>
      </c>
      <c r="Q129" t="s">
        <v>379</v>
      </c>
      <c r="S129" t="s">
        <v>380</v>
      </c>
      <c r="T129">
        <v>7579</v>
      </c>
      <c r="U129" t="s">
        <v>381</v>
      </c>
      <c r="AA129" t="s">
        <v>5</v>
      </c>
      <c r="AC129">
        <v>1100</v>
      </c>
      <c r="AD129">
        <v>46221</v>
      </c>
      <c r="AE129">
        <v>46161</v>
      </c>
      <c r="AF129">
        <v>102</v>
      </c>
      <c r="AG129">
        <v>102</v>
      </c>
      <c r="AH129" t="s">
        <v>519</v>
      </c>
      <c r="AI129" t="b">
        <v>0</v>
      </c>
      <c r="AJ129" t="s">
        <v>631</v>
      </c>
      <c r="AK129" t="s">
        <v>384</v>
      </c>
      <c r="AL129" t="s">
        <v>385</v>
      </c>
      <c r="AM129" t="s">
        <v>385</v>
      </c>
      <c r="AN129" t="s">
        <v>384</v>
      </c>
      <c r="AO129" t="s">
        <v>384</v>
      </c>
      <c r="AP129" t="s">
        <v>384</v>
      </c>
      <c r="AQ129" t="s">
        <v>384</v>
      </c>
      <c r="AR129" t="s">
        <v>384</v>
      </c>
      <c r="AS129" t="s">
        <v>384</v>
      </c>
      <c r="AT129" t="s">
        <v>384</v>
      </c>
      <c r="AU129" t="s">
        <v>384</v>
      </c>
      <c r="AV129" t="s">
        <v>384</v>
      </c>
      <c r="AW129" t="s">
        <v>384</v>
      </c>
      <c r="AX129" t="s">
        <v>385</v>
      </c>
      <c r="AY129" t="s">
        <v>384</v>
      </c>
      <c r="AZ129" t="s">
        <v>384</v>
      </c>
      <c r="BA129" t="s">
        <v>385</v>
      </c>
      <c r="BB129" t="s">
        <v>384</v>
      </c>
      <c r="BC129" t="s">
        <v>384</v>
      </c>
      <c r="BD129" t="s">
        <v>384</v>
      </c>
      <c r="BI129" t="s">
        <v>386</v>
      </c>
    </row>
    <row r="130" spans="1:61" x14ac:dyDescent="0.2">
      <c r="A130">
        <v>0</v>
      </c>
      <c r="B130">
        <v>975</v>
      </c>
      <c r="D130" t="s">
        <v>348</v>
      </c>
      <c r="E130" t="s">
        <v>440</v>
      </c>
      <c r="F130" t="s">
        <v>406</v>
      </c>
      <c r="G130" t="s">
        <v>378</v>
      </c>
      <c r="J130" t="s">
        <v>87</v>
      </c>
      <c r="K130" s="21">
        <v>46187</v>
      </c>
      <c r="L130" s="21">
        <v>46187</v>
      </c>
      <c r="P130" t="s">
        <v>379</v>
      </c>
      <c r="Q130" t="s">
        <v>379</v>
      </c>
      <c r="T130">
        <v>5765</v>
      </c>
      <c r="U130" t="s">
        <v>381</v>
      </c>
      <c r="Z130" t="s">
        <v>413</v>
      </c>
      <c r="AA130" t="s">
        <v>5</v>
      </c>
      <c r="AC130">
        <v>975</v>
      </c>
      <c r="AD130">
        <v>46221</v>
      </c>
      <c r="AE130">
        <v>46161</v>
      </c>
      <c r="AF130">
        <v>102</v>
      </c>
      <c r="AG130">
        <v>102</v>
      </c>
      <c r="AH130" t="s">
        <v>382</v>
      </c>
      <c r="AI130" t="b">
        <v>0</v>
      </c>
      <c r="AJ130" t="s">
        <v>632</v>
      </c>
      <c r="AK130" t="s">
        <v>384</v>
      </c>
      <c r="AL130" t="s">
        <v>385</v>
      </c>
      <c r="AM130" t="s">
        <v>385</v>
      </c>
      <c r="AN130" t="s">
        <v>384</v>
      </c>
      <c r="AO130" t="s">
        <v>384</v>
      </c>
      <c r="AP130" t="s">
        <v>384</v>
      </c>
      <c r="AQ130" t="s">
        <v>384</v>
      </c>
      <c r="AR130" t="s">
        <v>384</v>
      </c>
      <c r="AS130" t="s">
        <v>384</v>
      </c>
      <c r="AT130" t="s">
        <v>384</v>
      </c>
      <c r="AU130" t="s">
        <v>384</v>
      </c>
      <c r="AV130" t="s">
        <v>384</v>
      </c>
      <c r="AW130" t="s">
        <v>384</v>
      </c>
      <c r="AX130" t="s">
        <v>385</v>
      </c>
      <c r="AY130" t="s">
        <v>384</v>
      </c>
      <c r="AZ130" t="s">
        <v>384</v>
      </c>
      <c r="BA130" t="s">
        <v>385</v>
      </c>
      <c r="BB130" t="s">
        <v>384</v>
      </c>
      <c r="BC130" t="s">
        <v>384</v>
      </c>
      <c r="BD130" t="s">
        <v>384</v>
      </c>
      <c r="BI130" t="s">
        <v>440</v>
      </c>
    </row>
    <row r="131" spans="1:61" x14ac:dyDescent="0.2">
      <c r="A131">
        <v>0</v>
      </c>
      <c r="B131">
        <v>955</v>
      </c>
      <c r="D131" t="s">
        <v>348</v>
      </c>
      <c r="E131" t="s">
        <v>409</v>
      </c>
      <c r="F131" t="s">
        <v>410</v>
      </c>
      <c r="G131" t="s">
        <v>378</v>
      </c>
      <c r="J131" t="s">
        <v>87</v>
      </c>
      <c r="K131" s="21">
        <v>46187</v>
      </c>
      <c r="L131" s="21">
        <v>46187</v>
      </c>
      <c r="P131" t="s">
        <v>379</v>
      </c>
      <c r="Q131" t="s">
        <v>379</v>
      </c>
      <c r="T131">
        <v>5745</v>
      </c>
      <c r="U131" t="s">
        <v>381</v>
      </c>
      <c r="AA131" t="s">
        <v>5</v>
      </c>
      <c r="AC131">
        <v>955</v>
      </c>
      <c r="AD131">
        <v>46221</v>
      </c>
      <c r="AE131">
        <v>46161</v>
      </c>
      <c r="AF131">
        <v>102</v>
      </c>
      <c r="AG131">
        <v>102</v>
      </c>
      <c r="AH131" t="s">
        <v>519</v>
      </c>
      <c r="AI131" t="b">
        <v>0</v>
      </c>
      <c r="AJ131" t="s">
        <v>633</v>
      </c>
      <c r="AK131" t="s">
        <v>384</v>
      </c>
      <c r="AL131" t="s">
        <v>385</v>
      </c>
      <c r="AM131" t="s">
        <v>385</v>
      </c>
      <c r="AN131" t="s">
        <v>384</v>
      </c>
      <c r="AO131" t="s">
        <v>384</v>
      </c>
      <c r="AP131" t="s">
        <v>384</v>
      </c>
      <c r="AQ131" t="s">
        <v>384</v>
      </c>
      <c r="AR131" t="s">
        <v>384</v>
      </c>
      <c r="AS131" t="s">
        <v>384</v>
      </c>
      <c r="AT131" t="s">
        <v>384</v>
      </c>
      <c r="AU131" t="s">
        <v>384</v>
      </c>
      <c r="AV131" t="s">
        <v>384</v>
      </c>
      <c r="AW131" t="s">
        <v>384</v>
      </c>
      <c r="AX131" t="s">
        <v>385</v>
      </c>
      <c r="AY131" t="s">
        <v>384</v>
      </c>
      <c r="AZ131" t="s">
        <v>384</v>
      </c>
      <c r="BA131" t="s">
        <v>385</v>
      </c>
      <c r="BB131" t="s">
        <v>384</v>
      </c>
      <c r="BC131" t="s">
        <v>384</v>
      </c>
      <c r="BD131" t="s">
        <v>384</v>
      </c>
      <c r="BI131" t="s">
        <v>409</v>
      </c>
    </row>
    <row r="132" spans="1:61" x14ac:dyDescent="0.2">
      <c r="A132">
        <v>0</v>
      </c>
      <c r="B132">
        <v>984</v>
      </c>
      <c r="D132" t="s">
        <v>348</v>
      </c>
      <c r="E132" t="s">
        <v>442</v>
      </c>
      <c r="F132" t="s">
        <v>406</v>
      </c>
      <c r="G132" t="s">
        <v>378</v>
      </c>
      <c r="J132" t="s">
        <v>87</v>
      </c>
      <c r="K132" s="21">
        <v>46189</v>
      </c>
      <c r="L132" s="21">
        <v>46189</v>
      </c>
      <c r="P132" t="s">
        <v>379</v>
      </c>
      <c r="Q132" t="s">
        <v>379</v>
      </c>
      <c r="T132">
        <v>5774</v>
      </c>
      <c r="U132" t="s">
        <v>381</v>
      </c>
      <c r="AA132" t="s">
        <v>5</v>
      </c>
      <c r="AC132">
        <v>984</v>
      </c>
      <c r="AD132">
        <v>46221</v>
      </c>
      <c r="AE132">
        <v>46161</v>
      </c>
      <c r="AF132">
        <v>102</v>
      </c>
      <c r="AG132">
        <v>102</v>
      </c>
      <c r="AH132" t="s">
        <v>519</v>
      </c>
      <c r="AI132" t="b">
        <v>0</v>
      </c>
      <c r="AJ132" t="s">
        <v>634</v>
      </c>
      <c r="AK132" t="s">
        <v>384</v>
      </c>
      <c r="AL132" t="s">
        <v>385</v>
      </c>
      <c r="AM132" t="s">
        <v>385</v>
      </c>
      <c r="AN132" t="s">
        <v>384</v>
      </c>
      <c r="AO132" t="s">
        <v>384</v>
      </c>
      <c r="AP132" t="s">
        <v>384</v>
      </c>
      <c r="AQ132" t="s">
        <v>384</v>
      </c>
      <c r="AR132" t="s">
        <v>384</v>
      </c>
      <c r="AS132" t="s">
        <v>384</v>
      </c>
      <c r="AT132" t="s">
        <v>384</v>
      </c>
      <c r="AU132" t="s">
        <v>384</v>
      </c>
      <c r="AV132" t="s">
        <v>384</v>
      </c>
      <c r="AW132" t="s">
        <v>384</v>
      </c>
      <c r="AX132" t="s">
        <v>385</v>
      </c>
      <c r="AY132" t="s">
        <v>384</v>
      </c>
      <c r="AZ132" t="s">
        <v>384</v>
      </c>
      <c r="BA132" t="s">
        <v>385</v>
      </c>
      <c r="BB132" t="s">
        <v>384</v>
      </c>
      <c r="BC132" t="s">
        <v>384</v>
      </c>
      <c r="BD132" t="s">
        <v>384</v>
      </c>
      <c r="BI132" t="s">
        <v>442</v>
      </c>
    </row>
    <row r="133" spans="1:61" x14ac:dyDescent="0.2">
      <c r="A133">
        <v>0</v>
      </c>
      <c r="B133">
        <v>965</v>
      </c>
      <c r="D133" t="s">
        <v>348</v>
      </c>
      <c r="E133" t="s">
        <v>412</v>
      </c>
      <c r="F133" t="s">
        <v>406</v>
      </c>
      <c r="G133" t="s">
        <v>378</v>
      </c>
      <c r="J133" t="s">
        <v>87</v>
      </c>
      <c r="K133" s="21">
        <v>46189</v>
      </c>
      <c r="L133" s="21">
        <v>46189</v>
      </c>
      <c r="P133" t="s">
        <v>379</v>
      </c>
      <c r="Q133" t="s">
        <v>379</v>
      </c>
      <c r="S133" t="s">
        <v>129</v>
      </c>
      <c r="T133">
        <v>5755</v>
      </c>
      <c r="U133" t="s">
        <v>381</v>
      </c>
      <c r="Z133" t="s">
        <v>413</v>
      </c>
      <c r="AA133" t="s">
        <v>5</v>
      </c>
      <c r="AC133">
        <v>965</v>
      </c>
      <c r="AD133">
        <v>46221</v>
      </c>
      <c r="AE133">
        <v>46161</v>
      </c>
      <c r="AF133">
        <v>102</v>
      </c>
      <c r="AG133">
        <v>102</v>
      </c>
      <c r="AH133" t="s">
        <v>382</v>
      </c>
      <c r="AI133" t="b">
        <v>0</v>
      </c>
      <c r="AJ133" t="s">
        <v>635</v>
      </c>
      <c r="AK133" t="s">
        <v>384</v>
      </c>
      <c r="AL133" t="s">
        <v>385</v>
      </c>
      <c r="AM133" t="s">
        <v>385</v>
      </c>
      <c r="AN133" t="s">
        <v>384</v>
      </c>
      <c r="AO133" t="s">
        <v>384</v>
      </c>
      <c r="AP133" t="s">
        <v>384</v>
      </c>
      <c r="AQ133" t="s">
        <v>384</v>
      </c>
      <c r="AR133" t="s">
        <v>384</v>
      </c>
      <c r="AS133" t="s">
        <v>384</v>
      </c>
      <c r="AT133" t="s">
        <v>384</v>
      </c>
      <c r="AU133" t="s">
        <v>384</v>
      </c>
      <c r="AV133" t="s">
        <v>384</v>
      </c>
      <c r="AW133" t="s">
        <v>384</v>
      </c>
      <c r="AX133" t="s">
        <v>385</v>
      </c>
      <c r="AY133" t="s">
        <v>384</v>
      </c>
      <c r="AZ133" t="s">
        <v>384</v>
      </c>
      <c r="BA133" t="s">
        <v>385</v>
      </c>
      <c r="BB133" t="s">
        <v>384</v>
      </c>
      <c r="BC133" t="s">
        <v>384</v>
      </c>
      <c r="BD133" t="s">
        <v>384</v>
      </c>
      <c r="BI133" t="s">
        <v>412</v>
      </c>
    </row>
    <row r="134" spans="1:61" x14ac:dyDescent="0.2">
      <c r="A134">
        <v>0</v>
      </c>
      <c r="B134">
        <v>932</v>
      </c>
      <c r="D134" t="s">
        <v>348</v>
      </c>
      <c r="E134" t="s">
        <v>445</v>
      </c>
      <c r="F134" t="s">
        <v>406</v>
      </c>
      <c r="G134" t="s">
        <v>378</v>
      </c>
      <c r="J134" t="s">
        <v>87</v>
      </c>
      <c r="K134" s="21">
        <v>46190</v>
      </c>
      <c r="L134" s="21">
        <v>46190</v>
      </c>
      <c r="P134" t="s">
        <v>379</v>
      </c>
      <c r="Q134" t="s">
        <v>379</v>
      </c>
      <c r="S134" t="s">
        <v>132</v>
      </c>
      <c r="T134">
        <v>5722</v>
      </c>
      <c r="U134" t="s">
        <v>381</v>
      </c>
      <c r="AA134" t="s">
        <v>5</v>
      </c>
      <c r="AC134">
        <v>932</v>
      </c>
      <c r="AD134">
        <v>46221</v>
      </c>
      <c r="AE134">
        <v>46161</v>
      </c>
      <c r="AF134">
        <v>102</v>
      </c>
      <c r="AG134">
        <v>102</v>
      </c>
      <c r="AH134" t="s">
        <v>519</v>
      </c>
      <c r="AI134" t="b">
        <v>0</v>
      </c>
      <c r="AJ134" t="s">
        <v>636</v>
      </c>
      <c r="AK134" t="s">
        <v>384</v>
      </c>
      <c r="AL134" t="s">
        <v>385</v>
      </c>
      <c r="AM134" t="s">
        <v>385</v>
      </c>
      <c r="AN134" t="s">
        <v>384</v>
      </c>
      <c r="AO134" t="s">
        <v>384</v>
      </c>
      <c r="AP134" t="s">
        <v>384</v>
      </c>
      <c r="AQ134" t="s">
        <v>384</v>
      </c>
      <c r="AR134" t="s">
        <v>384</v>
      </c>
      <c r="AS134" t="s">
        <v>384</v>
      </c>
      <c r="AT134" t="s">
        <v>384</v>
      </c>
      <c r="AU134" t="s">
        <v>384</v>
      </c>
      <c r="AV134" t="s">
        <v>384</v>
      </c>
      <c r="AW134" t="s">
        <v>384</v>
      </c>
      <c r="AX134" t="s">
        <v>385</v>
      </c>
      <c r="AY134" t="s">
        <v>384</v>
      </c>
      <c r="AZ134" t="s">
        <v>384</v>
      </c>
      <c r="BA134" t="s">
        <v>385</v>
      </c>
      <c r="BB134" t="s">
        <v>384</v>
      </c>
      <c r="BC134" t="s">
        <v>384</v>
      </c>
      <c r="BD134" t="s">
        <v>384</v>
      </c>
      <c r="BI134" t="s">
        <v>445</v>
      </c>
    </row>
    <row r="135" spans="1:61" x14ac:dyDescent="0.2">
      <c r="A135">
        <v>0</v>
      </c>
      <c r="B135">
        <v>880</v>
      </c>
      <c r="D135" t="s">
        <v>348</v>
      </c>
      <c r="E135" t="s">
        <v>637</v>
      </c>
      <c r="F135" t="s">
        <v>638</v>
      </c>
      <c r="G135" t="s">
        <v>378</v>
      </c>
      <c r="J135" t="s">
        <v>87</v>
      </c>
      <c r="K135" s="21">
        <v>46190</v>
      </c>
      <c r="L135" s="21">
        <v>46194</v>
      </c>
      <c r="P135" t="s">
        <v>379</v>
      </c>
      <c r="Q135" t="s">
        <v>379</v>
      </c>
      <c r="S135" t="s">
        <v>407</v>
      </c>
      <c r="T135">
        <v>5667</v>
      </c>
      <c r="U135" t="s">
        <v>381</v>
      </c>
      <c r="AA135" t="s">
        <v>5</v>
      </c>
      <c r="AC135">
        <v>880</v>
      </c>
      <c r="AD135">
        <v>46221</v>
      </c>
      <c r="AE135">
        <v>46161</v>
      </c>
      <c r="AF135">
        <v>102</v>
      </c>
      <c r="AG135">
        <v>102</v>
      </c>
      <c r="AH135" t="s">
        <v>519</v>
      </c>
      <c r="AI135" t="b">
        <v>0</v>
      </c>
      <c r="AJ135" t="s">
        <v>639</v>
      </c>
      <c r="AK135" t="s">
        <v>384</v>
      </c>
      <c r="AL135" t="s">
        <v>385</v>
      </c>
      <c r="AM135" t="s">
        <v>385</v>
      </c>
      <c r="AN135" t="s">
        <v>384</v>
      </c>
      <c r="AO135" t="s">
        <v>384</v>
      </c>
      <c r="AP135" t="s">
        <v>384</v>
      </c>
      <c r="AQ135" t="s">
        <v>384</v>
      </c>
      <c r="AR135" t="s">
        <v>384</v>
      </c>
      <c r="AS135" t="s">
        <v>384</v>
      </c>
      <c r="AT135" t="s">
        <v>384</v>
      </c>
      <c r="AU135" t="s">
        <v>384</v>
      </c>
      <c r="AV135" t="s">
        <v>384</v>
      </c>
      <c r="AW135" t="s">
        <v>384</v>
      </c>
      <c r="AX135" t="s">
        <v>385</v>
      </c>
      <c r="AY135" t="s">
        <v>384</v>
      </c>
      <c r="AZ135" t="s">
        <v>384</v>
      </c>
      <c r="BA135" t="s">
        <v>385</v>
      </c>
      <c r="BB135" t="s">
        <v>384</v>
      </c>
      <c r="BC135" t="s">
        <v>384</v>
      </c>
      <c r="BD135" t="s">
        <v>384</v>
      </c>
      <c r="BI135" t="s">
        <v>637</v>
      </c>
    </row>
    <row r="136" spans="1:61" x14ac:dyDescent="0.2">
      <c r="A136">
        <v>0</v>
      </c>
      <c r="B136">
        <v>892</v>
      </c>
      <c r="D136" t="s">
        <v>348</v>
      </c>
      <c r="E136" t="s">
        <v>640</v>
      </c>
      <c r="F136" t="s">
        <v>416</v>
      </c>
      <c r="G136" t="s">
        <v>378</v>
      </c>
      <c r="J136" t="s">
        <v>87</v>
      </c>
      <c r="K136" s="21">
        <v>46192</v>
      </c>
      <c r="L136" s="21">
        <v>46193</v>
      </c>
      <c r="P136" t="s">
        <v>379</v>
      </c>
      <c r="Q136" t="s">
        <v>379</v>
      </c>
      <c r="S136" t="s">
        <v>135</v>
      </c>
      <c r="T136">
        <v>5681</v>
      </c>
      <c r="U136" t="s">
        <v>381</v>
      </c>
      <c r="AA136" t="s">
        <v>5</v>
      </c>
      <c r="AC136">
        <v>892</v>
      </c>
      <c r="AD136">
        <v>46221</v>
      </c>
      <c r="AE136">
        <v>46161</v>
      </c>
      <c r="AF136">
        <v>102</v>
      </c>
      <c r="AG136">
        <v>102</v>
      </c>
      <c r="AH136" t="s">
        <v>519</v>
      </c>
      <c r="AI136" t="b">
        <v>0</v>
      </c>
      <c r="AJ136" t="s">
        <v>641</v>
      </c>
      <c r="AK136" t="s">
        <v>384</v>
      </c>
      <c r="AL136" t="s">
        <v>385</v>
      </c>
      <c r="AM136" t="s">
        <v>385</v>
      </c>
      <c r="AN136" t="s">
        <v>384</v>
      </c>
      <c r="AO136" t="s">
        <v>384</v>
      </c>
      <c r="AP136" t="s">
        <v>384</v>
      </c>
      <c r="AQ136" t="s">
        <v>384</v>
      </c>
      <c r="AR136" t="s">
        <v>384</v>
      </c>
      <c r="AS136" t="s">
        <v>384</v>
      </c>
      <c r="AT136" t="s">
        <v>384</v>
      </c>
      <c r="AU136" t="s">
        <v>384</v>
      </c>
      <c r="AV136" t="s">
        <v>384</v>
      </c>
      <c r="AW136" t="s">
        <v>384</v>
      </c>
      <c r="AX136" t="s">
        <v>385</v>
      </c>
      <c r="AY136" t="s">
        <v>384</v>
      </c>
      <c r="AZ136" t="s">
        <v>384</v>
      </c>
      <c r="BA136" t="s">
        <v>385</v>
      </c>
      <c r="BB136" t="s">
        <v>384</v>
      </c>
      <c r="BC136" t="s">
        <v>384</v>
      </c>
      <c r="BD136" t="s">
        <v>384</v>
      </c>
      <c r="BI136" t="s">
        <v>640</v>
      </c>
    </row>
    <row r="137" spans="1:61" x14ac:dyDescent="0.2">
      <c r="A137">
        <v>0</v>
      </c>
      <c r="B137">
        <v>996</v>
      </c>
      <c r="D137" t="s">
        <v>348</v>
      </c>
      <c r="E137" t="s">
        <v>405</v>
      </c>
      <c r="F137" t="s">
        <v>406</v>
      </c>
      <c r="G137" t="s">
        <v>378</v>
      </c>
      <c r="J137" t="s">
        <v>87</v>
      </c>
      <c r="K137" s="21">
        <v>46193</v>
      </c>
      <c r="L137" s="21">
        <v>46193</v>
      </c>
      <c r="P137" t="s">
        <v>379</v>
      </c>
      <c r="Q137" t="s">
        <v>379</v>
      </c>
      <c r="T137">
        <v>5786</v>
      </c>
      <c r="U137" t="s">
        <v>381</v>
      </c>
      <c r="AA137" t="s">
        <v>5</v>
      </c>
      <c r="AC137">
        <v>996</v>
      </c>
      <c r="AD137">
        <v>46221</v>
      </c>
      <c r="AE137">
        <v>46161</v>
      </c>
      <c r="AF137">
        <v>102</v>
      </c>
      <c r="AG137">
        <v>102</v>
      </c>
      <c r="AH137" t="s">
        <v>519</v>
      </c>
      <c r="AI137" t="b">
        <v>0</v>
      </c>
      <c r="AJ137" t="s">
        <v>642</v>
      </c>
      <c r="AK137" t="s">
        <v>384</v>
      </c>
      <c r="AL137" t="s">
        <v>385</v>
      </c>
      <c r="AM137" t="s">
        <v>385</v>
      </c>
      <c r="AN137" t="s">
        <v>384</v>
      </c>
      <c r="AO137" t="s">
        <v>384</v>
      </c>
      <c r="AP137" t="s">
        <v>384</v>
      </c>
      <c r="AQ137" t="s">
        <v>384</v>
      </c>
      <c r="AR137" t="s">
        <v>384</v>
      </c>
      <c r="AS137" t="s">
        <v>384</v>
      </c>
      <c r="AT137" t="s">
        <v>384</v>
      </c>
      <c r="AU137" t="s">
        <v>384</v>
      </c>
      <c r="AV137" t="s">
        <v>384</v>
      </c>
      <c r="AW137" t="s">
        <v>384</v>
      </c>
      <c r="AX137" t="s">
        <v>385</v>
      </c>
      <c r="AY137" t="s">
        <v>384</v>
      </c>
      <c r="AZ137" t="s">
        <v>384</v>
      </c>
      <c r="BA137" t="s">
        <v>385</v>
      </c>
      <c r="BB137" t="s">
        <v>384</v>
      </c>
      <c r="BC137" t="s">
        <v>384</v>
      </c>
      <c r="BD137" t="s">
        <v>384</v>
      </c>
      <c r="BI137" t="s">
        <v>405</v>
      </c>
    </row>
    <row r="138" spans="1:61" x14ac:dyDescent="0.2">
      <c r="A138">
        <v>0</v>
      </c>
      <c r="B138">
        <v>943</v>
      </c>
      <c r="D138" t="s">
        <v>348</v>
      </c>
      <c r="E138" t="s">
        <v>418</v>
      </c>
      <c r="F138" t="s">
        <v>419</v>
      </c>
      <c r="G138" t="s">
        <v>378</v>
      </c>
      <c r="J138" t="s">
        <v>87</v>
      </c>
      <c r="K138" s="21">
        <v>46195</v>
      </c>
      <c r="L138" s="21">
        <v>46195</v>
      </c>
      <c r="P138" t="s">
        <v>379</v>
      </c>
      <c r="Q138" t="s">
        <v>379</v>
      </c>
      <c r="T138">
        <v>5733</v>
      </c>
      <c r="U138" t="s">
        <v>381</v>
      </c>
      <c r="AA138" t="s">
        <v>5</v>
      </c>
      <c r="AC138">
        <v>943</v>
      </c>
      <c r="AD138">
        <v>46221</v>
      </c>
      <c r="AE138">
        <v>46161</v>
      </c>
      <c r="AF138">
        <v>102</v>
      </c>
      <c r="AG138">
        <v>102</v>
      </c>
      <c r="AH138" t="s">
        <v>519</v>
      </c>
      <c r="AI138" t="b">
        <v>0</v>
      </c>
      <c r="AJ138" t="s">
        <v>643</v>
      </c>
      <c r="AK138" t="s">
        <v>384</v>
      </c>
      <c r="AL138" t="s">
        <v>385</v>
      </c>
      <c r="AM138" t="s">
        <v>385</v>
      </c>
      <c r="AN138" t="s">
        <v>384</v>
      </c>
      <c r="AO138" t="s">
        <v>384</v>
      </c>
      <c r="AP138" t="s">
        <v>384</v>
      </c>
      <c r="AQ138" t="s">
        <v>384</v>
      </c>
      <c r="AR138" t="s">
        <v>384</v>
      </c>
      <c r="AS138" t="s">
        <v>384</v>
      </c>
      <c r="AT138" t="s">
        <v>384</v>
      </c>
      <c r="AU138" t="s">
        <v>384</v>
      </c>
      <c r="AV138" t="s">
        <v>384</v>
      </c>
      <c r="AW138" t="s">
        <v>384</v>
      </c>
      <c r="AX138" t="s">
        <v>385</v>
      </c>
      <c r="AY138" t="s">
        <v>384</v>
      </c>
      <c r="AZ138" t="s">
        <v>384</v>
      </c>
      <c r="BA138" t="s">
        <v>385</v>
      </c>
      <c r="BB138" t="s">
        <v>384</v>
      </c>
      <c r="BC138" t="s">
        <v>384</v>
      </c>
      <c r="BD138" t="s">
        <v>384</v>
      </c>
      <c r="BI138" t="s">
        <v>418</v>
      </c>
    </row>
    <row r="139" spans="1:61" x14ac:dyDescent="0.2">
      <c r="A139">
        <v>0</v>
      </c>
      <c r="B139">
        <v>879</v>
      </c>
      <c r="D139" t="s">
        <v>348</v>
      </c>
      <c r="E139" t="s">
        <v>644</v>
      </c>
      <c r="F139" t="s">
        <v>416</v>
      </c>
      <c r="G139" t="s">
        <v>378</v>
      </c>
      <c r="J139" t="s">
        <v>87</v>
      </c>
      <c r="K139" s="21">
        <v>46198</v>
      </c>
      <c r="L139" s="21">
        <v>46199</v>
      </c>
      <c r="P139" t="s">
        <v>379</v>
      </c>
      <c r="Q139" t="s">
        <v>379</v>
      </c>
      <c r="T139">
        <v>5666</v>
      </c>
      <c r="U139" t="s">
        <v>381</v>
      </c>
      <c r="AA139" t="s">
        <v>5</v>
      </c>
      <c r="AC139">
        <v>879</v>
      </c>
      <c r="AD139">
        <v>46221</v>
      </c>
      <c r="AE139">
        <v>46161</v>
      </c>
      <c r="AF139">
        <v>102</v>
      </c>
      <c r="AG139">
        <v>102</v>
      </c>
      <c r="AH139" t="s">
        <v>519</v>
      </c>
      <c r="AI139" t="b">
        <v>0</v>
      </c>
      <c r="AJ139" t="s">
        <v>645</v>
      </c>
      <c r="AK139" t="s">
        <v>384</v>
      </c>
      <c r="AL139" t="s">
        <v>385</v>
      </c>
      <c r="AM139" t="s">
        <v>385</v>
      </c>
      <c r="AN139" t="s">
        <v>384</v>
      </c>
      <c r="AO139" t="s">
        <v>384</v>
      </c>
      <c r="AP139" t="s">
        <v>384</v>
      </c>
      <c r="AQ139" t="s">
        <v>384</v>
      </c>
      <c r="AR139" t="s">
        <v>384</v>
      </c>
      <c r="AS139" t="s">
        <v>384</v>
      </c>
      <c r="AT139" t="s">
        <v>384</v>
      </c>
      <c r="AU139" t="s">
        <v>384</v>
      </c>
      <c r="AV139" t="s">
        <v>384</v>
      </c>
      <c r="AW139" t="s">
        <v>384</v>
      </c>
      <c r="AX139" t="s">
        <v>385</v>
      </c>
      <c r="AY139" t="s">
        <v>384</v>
      </c>
      <c r="AZ139" t="s">
        <v>384</v>
      </c>
      <c r="BA139" t="s">
        <v>385</v>
      </c>
      <c r="BB139" t="s">
        <v>384</v>
      </c>
      <c r="BC139" t="s">
        <v>384</v>
      </c>
      <c r="BD139" t="s">
        <v>384</v>
      </c>
      <c r="BI139" t="s">
        <v>644</v>
      </c>
    </row>
    <row r="140" spans="1:61" x14ac:dyDescent="0.2">
      <c r="A140">
        <v>0</v>
      </c>
      <c r="B140">
        <v>1101</v>
      </c>
      <c r="D140" t="s">
        <v>348</v>
      </c>
      <c r="E140" t="s">
        <v>646</v>
      </c>
      <c r="F140" t="s">
        <v>647</v>
      </c>
      <c r="G140" t="s">
        <v>378</v>
      </c>
      <c r="J140" t="s">
        <v>87</v>
      </c>
      <c r="K140" s="21">
        <v>46199</v>
      </c>
      <c r="L140" s="21">
        <v>46200</v>
      </c>
      <c r="P140" t="s">
        <v>379</v>
      </c>
      <c r="Q140" t="s">
        <v>379</v>
      </c>
      <c r="S140" t="s">
        <v>380</v>
      </c>
      <c r="T140">
        <v>7580</v>
      </c>
      <c r="U140" t="s">
        <v>381</v>
      </c>
      <c r="AA140" t="s">
        <v>5</v>
      </c>
      <c r="AC140">
        <v>1101</v>
      </c>
      <c r="AD140">
        <v>46221</v>
      </c>
      <c r="AE140">
        <v>46161</v>
      </c>
      <c r="AF140">
        <v>102</v>
      </c>
      <c r="AG140">
        <v>102</v>
      </c>
      <c r="AH140" t="s">
        <v>519</v>
      </c>
      <c r="AI140" t="b">
        <v>0</v>
      </c>
      <c r="AJ140" t="s">
        <v>648</v>
      </c>
      <c r="AK140" t="s">
        <v>384</v>
      </c>
      <c r="AL140" t="s">
        <v>385</v>
      </c>
      <c r="AM140" t="s">
        <v>385</v>
      </c>
      <c r="AN140" t="s">
        <v>384</v>
      </c>
      <c r="AO140" t="s">
        <v>384</v>
      </c>
      <c r="AP140" t="s">
        <v>384</v>
      </c>
      <c r="AQ140" t="s">
        <v>384</v>
      </c>
      <c r="AR140" t="s">
        <v>384</v>
      </c>
      <c r="AS140" t="s">
        <v>384</v>
      </c>
      <c r="AT140" t="s">
        <v>384</v>
      </c>
      <c r="AU140" t="s">
        <v>384</v>
      </c>
      <c r="AV140" t="s">
        <v>384</v>
      </c>
      <c r="AW140" t="s">
        <v>384</v>
      </c>
      <c r="AX140" t="s">
        <v>385</v>
      </c>
      <c r="AY140" t="s">
        <v>384</v>
      </c>
      <c r="AZ140" t="s">
        <v>384</v>
      </c>
      <c r="BA140" t="s">
        <v>385</v>
      </c>
      <c r="BB140" t="s">
        <v>384</v>
      </c>
      <c r="BC140" t="s">
        <v>384</v>
      </c>
      <c r="BD140" t="s">
        <v>384</v>
      </c>
      <c r="BI140" t="s">
        <v>646</v>
      </c>
    </row>
    <row r="141" spans="1:61" x14ac:dyDescent="0.2">
      <c r="A141">
        <v>0</v>
      </c>
      <c r="B141">
        <v>1007</v>
      </c>
      <c r="D141" t="s">
        <v>348</v>
      </c>
      <c r="E141" t="s">
        <v>649</v>
      </c>
      <c r="F141" t="s">
        <v>650</v>
      </c>
      <c r="G141" t="s">
        <v>378</v>
      </c>
      <c r="J141" t="s">
        <v>87</v>
      </c>
      <c r="K141" s="21">
        <v>46200</v>
      </c>
      <c r="L141" s="21">
        <v>46206</v>
      </c>
      <c r="P141" t="s">
        <v>379</v>
      </c>
      <c r="Q141" t="s">
        <v>379</v>
      </c>
      <c r="T141">
        <v>6943</v>
      </c>
      <c r="U141" t="s">
        <v>381</v>
      </c>
      <c r="Y141" t="b">
        <v>1</v>
      </c>
      <c r="AA141" t="s">
        <v>94</v>
      </c>
      <c r="AC141">
        <v>1007</v>
      </c>
      <c r="AD141">
        <v>46225</v>
      </c>
      <c r="AE141">
        <v>46161</v>
      </c>
      <c r="AF141">
        <v>102</v>
      </c>
      <c r="AG141">
        <v>102</v>
      </c>
      <c r="AH141" t="s">
        <v>414</v>
      </c>
      <c r="AI141" t="b">
        <v>0</v>
      </c>
      <c r="AJ141" t="s">
        <v>651</v>
      </c>
      <c r="AK141" t="s">
        <v>384</v>
      </c>
      <c r="AL141" t="s">
        <v>385</v>
      </c>
      <c r="AM141" t="s">
        <v>385</v>
      </c>
      <c r="AN141" t="s">
        <v>384</v>
      </c>
      <c r="AO141" t="s">
        <v>384</v>
      </c>
      <c r="AP141" t="s">
        <v>384</v>
      </c>
      <c r="AQ141" t="s">
        <v>384</v>
      </c>
      <c r="AR141" t="s">
        <v>384</v>
      </c>
      <c r="AS141" t="s">
        <v>384</v>
      </c>
      <c r="AT141" t="s">
        <v>384</v>
      </c>
      <c r="AU141" t="s">
        <v>384</v>
      </c>
      <c r="AV141" t="s">
        <v>384</v>
      </c>
      <c r="AW141" t="s">
        <v>384</v>
      </c>
      <c r="AX141" t="s">
        <v>385</v>
      </c>
      <c r="AY141" t="s">
        <v>384</v>
      </c>
      <c r="AZ141" t="s">
        <v>384</v>
      </c>
      <c r="BA141" t="s">
        <v>385</v>
      </c>
      <c r="BB141" t="s">
        <v>384</v>
      </c>
      <c r="BC141" t="s">
        <v>384</v>
      </c>
      <c r="BD141" t="s">
        <v>384</v>
      </c>
      <c r="BI141" t="s">
        <v>649</v>
      </c>
    </row>
    <row r="142" spans="1:61" x14ac:dyDescent="0.2">
      <c r="E142" t="s">
        <v>90</v>
      </c>
      <c r="J142" t="s">
        <v>87</v>
      </c>
      <c r="K142" s="21">
        <v>46200</v>
      </c>
      <c r="L142" s="21">
        <v>46217</v>
      </c>
      <c r="AA142" t="s">
        <v>88</v>
      </c>
      <c r="BI142" t="s">
        <v>90</v>
      </c>
    </row>
    <row r="143" spans="1:61" x14ac:dyDescent="0.2">
      <c r="A143">
        <v>0</v>
      </c>
      <c r="B143">
        <v>902</v>
      </c>
      <c r="D143" t="s">
        <v>348</v>
      </c>
      <c r="E143" t="s">
        <v>652</v>
      </c>
      <c r="F143" t="s">
        <v>416</v>
      </c>
      <c r="G143" t="s">
        <v>378</v>
      </c>
      <c r="I143" t="s">
        <v>653</v>
      </c>
      <c r="J143" t="s">
        <v>87</v>
      </c>
      <c r="K143" s="21">
        <v>46202</v>
      </c>
      <c r="L143" s="21">
        <v>46202</v>
      </c>
      <c r="P143" t="s">
        <v>379</v>
      </c>
      <c r="Q143" t="s">
        <v>379</v>
      </c>
      <c r="T143">
        <v>5691</v>
      </c>
      <c r="U143" t="s">
        <v>381</v>
      </c>
      <c r="AA143" t="s">
        <v>5</v>
      </c>
      <c r="AC143">
        <v>902</v>
      </c>
      <c r="AD143">
        <v>46221</v>
      </c>
      <c r="AE143">
        <v>46161</v>
      </c>
      <c r="AF143">
        <v>102</v>
      </c>
      <c r="AG143">
        <v>102</v>
      </c>
      <c r="AH143" t="s">
        <v>382</v>
      </c>
      <c r="AI143" t="b">
        <v>0</v>
      </c>
      <c r="AJ143" t="s">
        <v>654</v>
      </c>
      <c r="AK143" t="s">
        <v>384</v>
      </c>
      <c r="AL143" t="s">
        <v>385</v>
      </c>
      <c r="AM143" t="s">
        <v>385</v>
      </c>
      <c r="AN143" t="s">
        <v>384</v>
      </c>
      <c r="AO143" t="s">
        <v>384</v>
      </c>
      <c r="AP143" t="s">
        <v>384</v>
      </c>
      <c r="AQ143" t="s">
        <v>384</v>
      </c>
      <c r="AR143" t="s">
        <v>384</v>
      </c>
      <c r="AS143" t="s">
        <v>384</v>
      </c>
      <c r="AT143" t="s">
        <v>384</v>
      </c>
      <c r="AU143" t="s">
        <v>384</v>
      </c>
      <c r="AV143" t="s">
        <v>384</v>
      </c>
      <c r="AW143" t="s">
        <v>384</v>
      </c>
      <c r="AX143" t="s">
        <v>385</v>
      </c>
      <c r="AY143" t="s">
        <v>384</v>
      </c>
      <c r="AZ143" t="s">
        <v>384</v>
      </c>
      <c r="BA143" t="s">
        <v>385</v>
      </c>
      <c r="BB143" t="s">
        <v>384</v>
      </c>
      <c r="BC143" t="s">
        <v>384</v>
      </c>
      <c r="BD143" t="s">
        <v>384</v>
      </c>
      <c r="BI143" t="s">
        <v>652</v>
      </c>
    </row>
    <row r="144" spans="1:61" x14ac:dyDescent="0.2">
      <c r="A144">
        <v>0</v>
      </c>
      <c r="B144">
        <v>1158</v>
      </c>
      <c r="D144" t="s">
        <v>348</v>
      </c>
      <c r="E144" t="s">
        <v>655</v>
      </c>
      <c r="F144" t="s">
        <v>656</v>
      </c>
      <c r="G144" t="s">
        <v>657</v>
      </c>
      <c r="I144" t="s">
        <v>658</v>
      </c>
      <c r="J144" t="s">
        <v>659</v>
      </c>
      <c r="K144" s="21">
        <v>46203</v>
      </c>
      <c r="L144" s="21">
        <v>46264</v>
      </c>
      <c r="P144" t="s">
        <v>379</v>
      </c>
      <c r="Q144" t="s">
        <v>379</v>
      </c>
      <c r="U144" t="s">
        <v>381</v>
      </c>
      <c r="X144">
        <v>12</v>
      </c>
      <c r="Y144" t="b">
        <v>1</v>
      </c>
      <c r="AA144" t="s">
        <v>6</v>
      </c>
      <c r="AC144">
        <v>1158</v>
      </c>
      <c r="AD144">
        <v>46219</v>
      </c>
      <c r="AE144">
        <v>46218</v>
      </c>
      <c r="AF144">
        <v>102</v>
      </c>
      <c r="AG144">
        <v>102</v>
      </c>
      <c r="AH144" t="s">
        <v>660</v>
      </c>
      <c r="AI144" t="b">
        <v>0</v>
      </c>
      <c r="AJ144" t="s">
        <v>661</v>
      </c>
      <c r="AK144" t="s">
        <v>384</v>
      </c>
      <c r="AL144" t="s">
        <v>385</v>
      </c>
      <c r="AM144" t="s">
        <v>385</v>
      </c>
      <c r="AN144" t="s">
        <v>384</v>
      </c>
      <c r="AO144" t="s">
        <v>384</v>
      </c>
      <c r="AP144" t="s">
        <v>384</v>
      </c>
      <c r="AQ144" t="s">
        <v>384</v>
      </c>
      <c r="AR144" t="s">
        <v>384</v>
      </c>
      <c r="AS144" t="s">
        <v>384</v>
      </c>
      <c r="AT144" t="s">
        <v>384</v>
      </c>
      <c r="AU144" t="s">
        <v>384</v>
      </c>
      <c r="AV144" t="s">
        <v>384</v>
      </c>
      <c r="AW144" t="s">
        <v>384</v>
      </c>
      <c r="AX144" t="s">
        <v>385</v>
      </c>
      <c r="AY144" t="s">
        <v>384</v>
      </c>
      <c r="AZ144" t="s">
        <v>384</v>
      </c>
      <c r="BA144" t="s">
        <v>385</v>
      </c>
      <c r="BB144" t="s">
        <v>384</v>
      </c>
      <c r="BC144" t="s">
        <v>384</v>
      </c>
      <c r="BD144" t="s">
        <v>384</v>
      </c>
      <c r="BH144" t="s">
        <v>662</v>
      </c>
      <c r="BI144" t="s">
        <v>663</v>
      </c>
    </row>
    <row r="145" spans="1:61" x14ac:dyDescent="0.2">
      <c r="A145">
        <v>0</v>
      </c>
      <c r="B145">
        <v>1017</v>
      </c>
      <c r="D145" t="s">
        <v>348</v>
      </c>
      <c r="E145" t="s">
        <v>495</v>
      </c>
      <c r="F145" t="s">
        <v>496</v>
      </c>
      <c r="G145" t="s">
        <v>378</v>
      </c>
      <c r="J145" t="s">
        <v>87</v>
      </c>
      <c r="K145" s="21">
        <v>46205</v>
      </c>
      <c r="L145" s="21">
        <v>46236</v>
      </c>
      <c r="P145" t="s">
        <v>379</v>
      </c>
      <c r="Q145" t="s">
        <v>379</v>
      </c>
      <c r="S145" t="s">
        <v>380</v>
      </c>
      <c r="T145">
        <v>7164</v>
      </c>
      <c r="U145" t="s">
        <v>381</v>
      </c>
      <c r="AA145" t="s">
        <v>5</v>
      </c>
      <c r="AC145">
        <v>1017</v>
      </c>
      <c r="AD145">
        <v>46221</v>
      </c>
      <c r="AE145">
        <v>46161</v>
      </c>
      <c r="AF145">
        <v>102</v>
      </c>
      <c r="AG145">
        <v>102</v>
      </c>
      <c r="AH145" t="s">
        <v>519</v>
      </c>
      <c r="AI145" t="b">
        <v>0</v>
      </c>
      <c r="AJ145" t="s">
        <v>664</v>
      </c>
      <c r="AK145" t="s">
        <v>384</v>
      </c>
      <c r="AL145" t="s">
        <v>385</v>
      </c>
      <c r="AM145" t="s">
        <v>385</v>
      </c>
      <c r="AN145" t="s">
        <v>384</v>
      </c>
      <c r="AO145" t="s">
        <v>384</v>
      </c>
      <c r="AP145" t="s">
        <v>384</v>
      </c>
      <c r="AQ145" t="s">
        <v>384</v>
      </c>
      <c r="AR145" t="s">
        <v>384</v>
      </c>
      <c r="AS145" t="s">
        <v>384</v>
      </c>
      <c r="AT145" t="s">
        <v>384</v>
      </c>
      <c r="AU145" t="s">
        <v>384</v>
      </c>
      <c r="AV145" t="s">
        <v>384</v>
      </c>
      <c r="AW145" t="s">
        <v>384</v>
      </c>
      <c r="AX145" t="s">
        <v>385</v>
      </c>
      <c r="AY145" t="s">
        <v>384</v>
      </c>
      <c r="AZ145" t="s">
        <v>384</v>
      </c>
      <c r="BA145" t="s">
        <v>385</v>
      </c>
      <c r="BB145" t="s">
        <v>384</v>
      </c>
      <c r="BC145" t="s">
        <v>384</v>
      </c>
      <c r="BD145" t="s">
        <v>384</v>
      </c>
      <c r="BI145" t="s">
        <v>495</v>
      </c>
    </row>
    <row r="146" spans="1:61" x14ac:dyDescent="0.2">
      <c r="A146">
        <v>0</v>
      </c>
      <c r="B146">
        <v>1018</v>
      </c>
      <c r="D146" t="s">
        <v>348</v>
      </c>
      <c r="E146" t="s">
        <v>492</v>
      </c>
      <c r="F146" t="s">
        <v>493</v>
      </c>
      <c r="G146" t="s">
        <v>378</v>
      </c>
      <c r="J146" t="s">
        <v>87</v>
      </c>
      <c r="K146" s="21">
        <v>46205</v>
      </c>
      <c r="L146" s="21">
        <v>46205</v>
      </c>
      <c r="P146" t="s">
        <v>379</v>
      </c>
      <c r="Q146" t="s">
        <v>379</v>
      </c>
      <c r="S146" t="s">
        <v>380</v>
      </c>
      <c r="T146">
        <v>7165</v>
      </c>
      <c r="U146" t="s">
        <v>381</v>
      </c>
      <c r="AA146" t="s">
        <v>5</v>
      </c>
      <c r="AC146">
        <v>1018</v>
      </c>
      <c r="AD146">
        <v>46221</v>
      </c>
      <c r="AE146">
        <v>46161</v>
      </c>
      <c r="AF146">
        <v>102</v>
      </c>
      <c r="AG146">
        <v>102</v>
      </c>
      <c r="AH146" t="s">
        <v>519</v>
      </c>
      <c r="AI146" t="b">
        <v>0</v>
      </c>
      <c r="AJ146" t="s">
        <v>665</v>
      </c>
      <c r="AK146" t="s">
        <v>384</v>
      </c>
      <c r="AL146" t="s">
        <v>385</v>
      </c>
      <c r="AM146" t="s">
        <v>385</v>
      </c>
      <c r="AN146" t="s">
        <v>384</v>
      </c>
      <c r="AO146" t="s">
        <v>384</v>
      </c>
      <c r="AP146" t="s">
        <v>384</v>
      </c>
      <c r="AQ146" t="s">
        <v>384</v>
      </c>
      <c r="AR146" t="s">
        <v>384</v>
      </c>
      <c r="AS146" t="s">
        <v>384</v>
      </c>
      <c r="AT146" t="s">
        <v>384</v>
      </c>
      <c r="AU146" t="s">
        <v>384</v>
      </c>
      <c r="AV146" t="s">
        <v>384</v>
      </c>
      <c r="AW146" t="s">
        <v>384</v>
      </c>
      <c r="AX146" t="s">
        <v>385</v>
      </c>
      <c r="AY146" t="s">
        <v>384</v>
      </c>
      <c r="AZ146" t="s">
        <v>384</v>
      </c>
      <c r="BA146" t="s">
        <v>385</v>
      </c>
      <c r="BB146" t="s">
        <v>384</v>
      </c>
      <c r="BC146" t="s">
        <v>384</v>
      </c>
      <c r="BD146" t="s">
        <v>384</v>
      </c>
      <c r="BI146" t="s">
        <v>492</v>
      </c>
    </row>
    <row r="147" spans="1:61" x14ac:dyDescent="0.2">
      <c r="A147">
        <v>0</v>
      </c>
      <c r="B147">
        <v>1006</v>
      </c>
      <c r="D147" t="s">
        <v>348</v>
      </c>
      <c r="E147" t="s">
        <v>666</v>
      </c>
      <c r="F147" t="s">
        <v>667</v>
      </c>
      <c r="G147" t="s">
        <v>378</v>
      </c>
      <c r="J147" t="s">
        <v>87</v>
      </c>
      <c r="K147" s="21">
        <v>46205</v>
      </c>
      <c r="L147" s="21">
        <v>46209</v>
      </c>
      <c r="P147" t="s">
        <v>379</v>
      </c>
      <c r="Q147" t="s">
        <v>379</v>
      </c>
      <c r="T147">
        <v>6941</v>
      </c>
      <c r="U147" t="s">
        <v>381</v>
      </c>
      <c r="Y147" t="b">
        <v>1</v>
      </c>
      <c r="AA147" t="s">
        <v>94</v>
      </c>
      <c r="AC147">
        <v>1006</v>
      </c>
      <c r="AD147">
        <v>46225</v>
      </c>
      <c r="AE147">
        <v>46161</v>
      </c>
      <c r="AF147">
        <v>102</v>
      </c>
      <c r="AG147">
        <v>102</v>
      </c>
      <c r="AH147" t="s">
        <v>414</v>
      </c>
      <c r="AI147" t="b">
        <v>0</v>
      </c>
      <c r="AJ147" t="s">
        <v>668</v>
      </c>
      <c r="AK147" t="s">
        <v>384</v>
      </c>
      <c r="AL147" t="s">
        <v>385</v>
      </c>
      <c r="AM147" t="s">
        <v>385</v>
      </c>
      <c r="AN147" t="s">
        <v>384</v>
      </c>
      <c r="AO147" t="s">
        <v>384</v>
      </c>
      <c r="AP147" t="s">
        <v>384</v>
      </c>
      <c r="AQ147" t="s">
        <v>384</v>
      </c>
      <c r="AR147" t="s">
        <v>384</v>
      </c>
      <c r="AS147" t="s">
        <v>384</v>
      </c>
      <c r="AT147" t="s">
        <v>384</v>
      </c>
      <c r="AU147" t="s">
        <v>384</v>
      </c>
      <c r="AV147" t="s">
        <v>384</v>
      </c>
      <c r="AW147" t="s">
        <v>384</v>
      </c>
      <c r="AX147" t="s">
        <v>385</v>
      </c>
      <c r="AY147" t="s">
        <v>384</v>
      </c>
      <c r="AZ147" t="s">
        <v>384</v>
      </c>
      <c r="BA147" t="s">
        <v>385</v>
      </c>
      <c r="BB147" t="s">
        <v>384</v>
      </c>
      <c r="BC147" t="s">
        <v>384</v>
      </c>
      <c r="BD147" t="s">
        <v>384</v>
      </c>
      <c r="BI147" t="s">
        <v>666</v>
      </c>
    </row>
    <row r="148" spans="1:61" x14ac:dyDescent="0.2">
      <c r="A148">
        <v>0</v>
      </c>
      <c r="B148">
        <v>1104</v>
      </c>
      <c r="D148" t="s">
        <v>348</v>
      </c>
      <c r="E148" t="s">
        <v>431</v>
      </c>
      <c r="F148" t="s">
        <v>669</v>
      </c>
      <c r="G148" t="s">
        <v>378</v>
      </c>
      <c r="J148" t="s">
        <v>87</v>
      </c>
      <c r="K148" s="21">
        <v>46212</v>
      </c>
      <c r="L148" s="21">
        <v>46214</v>
      </c>
      <c r="P148" t="s">
        <v>379</v>
      </c>
      <c r="Q148" t="s">
        <v>379</v>
      </c>
      <c r="S148" t="s">
        <v>380</v>
      </c>
      <c r="T148">
        <v>7583</v>
      </c>
      <c r="U148" t="s">
        <v>381</v>
      </c>
      <c r="AA148" t="s">
        <v>5</v>
      </c>
      <c r="AC148">
        <v>1104</v>
      </c>
      <c r="AD148">
        <v>46221</v>
      </c>
      <c r="AE148">
        <v>46161</v>
      </c>
      <c r="AF148">
        <v>102</v>
      </c>
      <c r="AG148">
        <v>102</v>
      </c>
      <c r="AH148" t="s">
        <v>519</v>
      </c>
      <c r="AI148" t="b">
        <v>0</v>
      </c>
      <c r="AJ148" t="s">
        <v>670</v>
      </c>
      <c r="AK148" t="s">
        <v>384</v>
      </c>
      <c r="AL148" t="s">
        <v>385</v>
      </c>
      <c r="AM148" t="s">
        <v>385</v>
      </c>
      <c r="AN148" t="s">
        <v>384</v>
      </c>
      <c r="AO148" t="s">
        <v>384</v>
      </c>
      <c r="AP148" t="s">
        <v>384</v>
      </c>
      <c r="AQ148" t="s">
        <v>384</v>
      </c>
      <c r="AR148" t="s">
        <v>384</v>
      </c>
      <c r="AS148" t="s">
        <v>384</v>
      </c>
      <c r="AT148" t="s">
        <v>384</v>
      </c>
      <c r="AU148" t="s">
        <v>384</v>
      </c>
      <c r="AV148" t="s">
        <v>384</v>
      </c>
      <c r="AW148" t="s">
        <v>384</v>
      </c>
      <c r="AX148" t="s">
        <v>385</v>
      </c>
      <c r="AY148" t="s">
        <v>384</v>
      </c>
      <c r="AZ148" t="s">
        <v>384</v>
      </c>
      <c r="BA148" t="s">
        <v>385</v>
      </c>
      <c r="BB148" t="s">
        <v>384</v>
      </c>
      <c r="BC148" t="s">
        <v>384</v>
      </c>
      <c r="BD148" t="s">
        <v>384</v>
      </c>
      <c r="BI148" t="s">
        <v>431</v>
      </c>
    </row>
    <row r="149" spans="1:61" x14ac:dyDescent="0.2">
      <c r="A149">
        <v>0</v>
      </c>
      <c r="B149">
        <v>1103</v>
      </c>
      <c r="D149" t="s">
        <v>348</v>
      </c>
      <c r="E149" t="s">
        <v>389</v>
      </c>
      <c r="F149" t="s">
        <v>671</v>
      </c>
      <c r="G149" t="s">
        <v>378</v>
      </c>
      <c r="J149" t="s">
        <v>87</v>
      </c>
      <c r="K149" s="21">
        <v>46212</v>
      </c>
      <c r="L149" s="21">
        <v>46214</v>
      </c>
      <c r="P149" t="s">
        <v>379</v>
      </c>
      <c r="Q149" t="s">
        <v>379</v>
      </c>
      <c r="S149" t="s">
        <v>380</v>
      </c>
      <c r="T149">
        <v>7582</v>
      </c>
      <c r="U149" t="s">
        <v>381</v>
      </c>
      <c r="AA149" t="s">
        <v>5</v>
      </c>
      <c r="AC149">
        <v>1103</v>
      </c>
      <c r="AD149">
        <v>46221</v>
      </c>
      <c r="AE149">
        <v>46161</v>
      </c>
      <c r="AF149">
        <v>102</v>
      </c>
      <c r="AG149">
        <v>102</v>
      </c>
      <c r="AH149" t="s">
        <v>519</v>
      </c>
      <c r="AI149" t="b">
        <v>0</v>
      </c>
      <c r="AJ149" t="s">
        <v>672</v>
      </c>
      <c r="AK149" t="s">
        <v>384</v>
      </c>
      <c r="AL149" t="s">
        <v>385</v>
      </c>
      <c r="AM149" t="s">
        <v>385</v>
      </c>
      <c r="AN149" t="s">
        <v>384</v>
      </c>
      <c r="AO149" t="s">
        <v>384</v>
      </c>
      <c r="AP149" t="s">
        <v>384</v>
      </c>
      <c r="AQ149" t="s">
        <v>384</v>
      </c>
      <c r="AR149" t="s">
        <v>384</v>
      </c>
      <c r="AS149" t="s">
        <v>384</v>
      </c>
      <c r="AT149" t="s">
        <v>384</v>
      </c>
      <c r="AU149" t="s">
        <v>384</v>
      </c>
      <c r="AV149" t="s">
        <v>384</v>
      </c>
      <c r="AW149" t="s">
        <v>384</v>
      </c>
      <c r="AX149" t="s">
        <v>385</v>
      </c>
      <c r="AY149" t="s">
        <v>384</v>
      </c>
      <c r="AZ149" t="s">
        <v>384</v>
      </c>
      <c r="BA149" t="s">
        <v>385</v>
      </c>
      <c r="BB149" t="s">
        <v>384</v>
      </c>
      <c r="BC149" t="s">
        <v>384</v>
      </c>
      <c r="BD149" t="s">
        <v>384</v>
      </c>
      <c r="BI149" t="s">
        <v>389</v>
      </c>
    </row>
    <row r="150" spans="1:61" x14ac:dyDescent="0.2">
      <c r="A150">
        <v>0</v>
      </c>
      <c r="B150">
        <v>889</v>
      </c>
      <c r="D150" t="s">
        <v>348</v>
      </c>
      <c r="E150" t="s">
        <v>673</v>
      </c>
      <c r="F150" t="s">
        <v>416</v>
      </c>
      <c r="G150" t="s">
        <v>378</v>
      </c>
      <c r="J150" t="s">
        <v>87</v>
      </c>
      <c r="K150" s="21">
        <v>46213</v>
      </c>
      <c r="L150" s="21">
        <v>46213</v>
      </c>
      <c r="P150" t="s">
        <v>379</v>
      </c>
      <c r="Q150" t="s">
        <v>379</v>
      </c>
      <c r="T150">
        <v>5676</v>
      </c>
      <c r="U150" t="s">
        <v>381</v>
      </c>
      <c r="AA150" t="s">
        <v>5</v>
      </c>
      <c r="AC150">
        <v>889</v>
      </c>
      <c r="AD150">
        <v>46221</v>
      </c>
      <c r="AE150">
        <v>46161</v>
      </c>
      <c r="AF150">
        <v>102</v>
      </c>
      <c r="AG150">
        <v>102</v>
      </c>
      <c r="AH150" t="s">
        <v>519</v>
      </c>
      <c r="AI150" t="b">
        <v>0</v>
      </c>
      <c r="AJ150" t="s">
        <v>674</v>
      </c>
      <c r="AK150" t="s">
        <v>384</v>
      </c>
      <c r="AL150" t="s">
        <v>385</v>
      </c>
      <c r="AM150" t="s">
        <v>385</v>
      </c>
      <c r="AN150" t="s">
        <v>384</v>
      </c>
      <c r="AO150" t="s">
        <v>384</v>
      </c>
      <c r="AP150" t="s">
        <v>384</v>
      </c>
      <c r="AQ150" t="s">
        <v>384</v>
      </c>
      <c r="AR150" t="s">
        <v>384</v>
      </c>
      <c r="AS150" t="s">
        <v>384</v>
      </c>
      <c r="AT150" t="s">
        <v>384</v>
      </c>
      <c r="AU150" t="s">
        <v>384</v>
      </c>
      <c r="AV150" t="s">
        <v>384</v>
      </c>
      <c r="AW150" t="s">
        <v>384</v>
      </c>
      <c r="AX150" t="s">
        <v>385</v>
      </c>
      <c r="AY150" t="s">
        <v>384</v>
      </c>
      <c r="AZ150" t="s">
        <v>384</v>
      </c>
      <c r="BA150" t="s">
        <v>385</v>
      </c>
      <c r="BB150" t="s">
        <v>384</v>
      </c>
      <c r="BC150" t="s">
        <v>384</v>
      </c>
      <c r="BD150" t="s">
        <v>384</v>
      </c>
      <c r="BI150" t="s">
        <v>673</v>
      </c>
    </row>
    <row r="151" spans="1:61" x14ac:dyDescent="0.2">
      <c r="A151">
        <v>0</v>
      </c>
      <c r="B151">
        <v>985</v>
      </c>
      <c r="D151" t="s">
        <v>348</v>
      </c>
      <c r="E151" t="s">
        <v>442</v>
      </c>
      <c r="F151" t="s">
        <v>406</v>
      </c>
      <c r="G151" t="s">
        <v>378</v>
      </c>
      <c r="J151" t="s">
        <v>87</v>
      </c>
      <c r="K151" s="21">
        <v>46217</v>
      </c>
      <c r="L151" s="21">
        <v>46217</v>
      </c>
      <c r="P151" t="s">
        <v>379</v>
      </c>
      <c r="Q151" t="s">
        <v>379</v>
      </c>
      <c r="T151">
        <v>5775</v>
      </c>
      <c r="U151" t="s">
        <v>381</v>
      </c>
      <c r="Y151" t="b">
        <v>1</v>
      </c>
      <c r="AA151" t="s">
        <v>94</v>
      </c>
      <c r="AC151">
        <v>985</v>
      </c>
      <c r="AD151">
        <v>46225</v>
      </c>
      <c r="AE151">
        <v>46161</v>
      </c>
      <c r="AF151">
        <v>102</v>
      </c>
      <c r="AG151">
        <v>102</v>
      </c>
      <c r="AH151" t="s">
        <v>414</v>
      </c>
      <c r="AI151" t="b">
        <v>0</v>
      </c>
      <c r="AJ151" t="s">
        <v>675</v>
      </c>
      <c r="AK151" t="s">
        <v>384</v>
      </c>
      <c r="AL151" t="s">
        <v>385</v>
      </c>
      <c r="AM151" t="s">
        <v>385</v>
      </c>
      <c r="AN151" t="s">
        <v>384</v>
      </c>
      <c r="AO151" t="s">
        <v>384</v>
      </c>
      <c r="AP151" t="s">
        <v>384</v>
      </c>
      <c r="AQ151" t="s">
        <v>384</v>
      </c>
      <c r="AR151" t="s">
        <v>384</v>
      </c>
      <c r="AS151" t="s">
        <v>384</v>
      </c>
      <c r="AT151" t="s">
        <v>384</v>
      </c>
      <c r="AU151" t="s">
        <v>384</v>
      </c>
      <c r="AV151" t="s">
        <v>384</v>
      </c>
      <c r="AW151" t="s">
        <v>384</v>
      </c>
      <c r="AX151" t="s">
        <v>385</v>
      </c>
      <c r="AY151" t="s">
        <v>384</v>
      </c>
      <c r="AZ151" t="s">
        <v>384</v>
      </c>
      <c r="BA151" t="s">
        <v>385</v>
      </c>
      <c r="BB151" t="s">
        <v>384</v>
      </c>
      <c r="BC151" t="s">
        <v>384</v>
      </c>
      <c r="BD151" t="s">
        <v>384</v>
      </c>
      <c r="BI151" t="s">
        <v>442</v>
      </c>
    </row>
    <row r="152" spans="1:61" x14ac:dyDescent="0.2">
      <c r="A152">
        <v>0</v>
      </c>
      <c r="B152">
        <v>966</v>
      </c>
      <c r="D152" t="s">
        <v>348</v>
      </c>
      <c r="E152" t="s">
        <v>412</v>
      </c>
      <c r="F152" t="s">
        <v>406</v>
      </c>
      <c r="G152" t="s">
        <v>378</v>
      </c>
      <c r="J152" t="s">
        <v>87</v>
      </c>
      <c r="K152" s="21">
        <v>46217</v>
      </c>
      <c r="L152" s="21">
        <v>46217</v>
      </c>
      <c r="P152" t="s">
        <v>379</v>
      </c>
      <c r="Q152" t="s">
        <v>379</v>
      </c>
      <c r="S152" t="s">
        <v>129</v>
      </c>
      <c r="T152">
        <v>5756</v>
      </c>
      <c r="U152" t="s">
        <v>381</v>
      </c>
      <c r="Y152" t="b">
        <v>1</v>
      </c>
      <c r="Z152" t="s">
        <v>413</v>
      </c>
      <c r="AA152" t="s">
        <v>94</v>
      </c>
      <c r="AC152">
        <v>966</v>
      </c>
      <c r="AD152">
        <v>46225</v>
      </c>
      <c r="AE152">
        <v>46161</v>
      </c>
      <c r="AF152">
        <v>102</v>
      </c>
      <c r="AG152">
        <v>102</v>
      </c>
      <c r="AH152" t="s">
        <v>676</v>
      </c>
      <c r="AI152" t="b">
        <v>0</v>
      </c>
      <c r="AJ152" t="s">
        <v>677</v>
      </c>
      <c r="AK152" t="s">
        <v>384</v>
      </c>
      <c r="AL152" t="s">
        <v>385</v>
      </c>
      <c r="AM152" t="s">
        <v>385</v>
      </c>
      <c r="AN152" t="s">
        <v>384</v>
      </c>
      <c r="AO152" t="s">
        <v>384</v>
      </c>
      <c r="AP152" t="s">
        <v>384</v>
      </c>
      <c r="AQ152" t="s">
        <v>384</v>
      </c>
      <c r="AR152" t="s">
        <v>384</v>
      </c>
      <c r="AS152" t="s">
        <v>384</v>
      </c>
      <c r="AT152" t="s">
        <v>384</v>
      </c>
      <c r="AU152" t="s">
        <v>384</v>
      </c>
      <c r="AV152" t="s">
        <v>384</v>
      </c>
      <c r="AW152" t="s">
        <v>384</v>
      </c>
      <c r="AX152" t="s">
        <v>385</v>
      </c>
      <c r="AY152" t="s">
        <v>384</v>
      </c>
      <c r="AZ152" t="s">
        <v>384</v>
      </c>
      <c r="BA152" t="s">
        <v>385</v>
      </c>
      <c r="BB152" t="s">
        <v>384</v>
      </c>
      <c r="BC152" t="s">
        <v>384</v>
      </c>
      <c r="BD152" t="s">
        <v>384</v>
      </c>
      <c r="BI152" t="s">
        <v>412</v>
      </c>
    </row>
    <row r="153" spans="1:61" x14ac:dyDescent="0.2">
      <c r="A153">
        <v>0</v>
      </c>
      <c r="B153">
        <v>1159</v>
      </c>
      <c r="D153" t="s">
        <v>348</v>
      </c>
      <c r="E153" t="s">
        <v>678</v>
      </c>
      <c r="G153" t="s">
        <v>679</v>
      </c>
      <c r="H153">
        <v>883</v>
      </c>
      <c r="I153" t="s">
        <v>680</v>
      </c>
      <c r="J153" t="s">
        <v>659</v>
      </c>
      <c r="K153" s="21">
        <v>46218</v>
      </c>
      <c r="L153" s="21">
        <v>46219</v>
      </c>
      <c r="P153" t="s">
        <v>379</v>
      </c>
      <c r="Q153" t="s">
        <v>379</v>
      </c>
      <c r="U153" t="s">
        <v>381</v>
      </c>
      <c r="Y153" t="b">
        <v>1</v>
      </c>
      <c r="AC153">
        <v>1159</v>
      </c>
      <c r="AD153">
        <v>46221</v>
      </c>
      <c r="AE153">
        <v>46218</v>
      </c>
      <c r="AF153">
        <v>102</v>
      </c>
      <c r="AG153">
        <v>102</v>
      </c>
      <c r="AH153" t="s">
        <v>681</v>
      </c>
      <c r="AI153" t="b">
        <v>0</v>
      </c>
      <c r="AJ153" t="s">
        <v>682</v>
      </c>
      <c r="AK153" t="s">
        <v>384</v>
      </c>
      <c r="AL153" t="s">
        <v>385</v>
      </c>
      <c r="AM153" t="s">
        <v>385</v>
      </c>
      <c r="AN153" t="s">
        <v>384</v>
      </c>
      <c r="AO153" t="s">
        <v>384</v>
      </c>
      <c r="AP153" t="s">
        <v>384</v>
      </c>
      <c r="AQ153" t="s">
        <v>384</v>
      </c>
      <c r="AR153" t="s">
        <v>384</v>
      </c>
      <c r="AS153" t="s">
        <v>384</v>
      </c>
      <c r="AT153" t="s">
        <v>384</v>
      </c>
      <c r="AU153" t="s">
        <v>384</v>
      </c>
      <c r="AV153" t="s">
        <v>384</v>
      </c>
      <c r="AW153" t="s">
        <v>384</v>
      </c>
      <c r="AX153" t="s">
        <v>385</v>
      </c>
      <c r="AY153" t="s">
        <v>384</v>
      </c>
      <c r="AZ153" t="s">
        <v>384</v>
      </c>
      <c r="BA153" t="s">
        <v>385</v>
      </c>
      <c r="BB153" t="s">
        <v>384</v>
      </c>
      <c r="BC153" t="s">
        <v>384</v>
      </c>
      <c r="BD153" t="s">
        <v>384</v>
      </c>
      <c r="BI153" t="s">
        <v>678</v>
      </c>
    </row>
    <row r="154" spans="1:61" x14ac:dyDescent="0.2">
      <c r="A154">
        <v>0</v>
      </c>
      <c r="B154">
        <v>933</v>
      </c>
      <c r="D154" t="s">
        <v>348</v>
      </c>
      <c r="E154" t="s">
        <v>445</v>
      </c>
      <c r="F154" t="s">
        <v>406</v>
      </c>
      <c r="G154" t="s">
        <v>378</v>
      </c>
      <c r="J154" t="s">
        <v>87</v>
      </c>
      <c r="K154" s="21">
        <v>46218</v>
      </c>
      <c r="L154" s="21">
        <v>46218</v>
      </c>
      <c r="P154" t="s">
        <v>379</v>
      </c>
      <c r="Q154" t="s">
        <v>379</v>
      </c>
      <c r="S154" t="s">
        <v>132</v>
      </c>
      <c r="T154">
        <v>5723</v>
      </c>
      <c r="U154" t="s">
        <v>381</v>
      </c>
      <c r="Y154" t="b">
        <v>1</v>
      </c>
      <c r="AA154" t="s">
        <v>94</v>
      </c>
      <c r="AC154">
        <v>933</v>
      </c>
      <c r="AD154">
        <v>46225</v>
      </c>
      <c r="AE154">
        <v>46161</v>
      </c>
      <c r="AF154">
        <v>102</v>
      </c>
      <c r="AG154">
        <v>102</v>
      </c>
      <c r="AH154" t="s">
        <v>414</v>
      </c>
      <c r="AI154" t="b">
        <v>0</v>
      </c>
      <c r="AJ154" t="s">
        <v>683</v>
      </c>
      <c r="AK154" t="s">
        <v>384</v>
      </c>
      <c r="AL154" t="s">
        <v>385</v>
      </c>
      <c r="AM154" t="s">
        <v>385</v>
      </c>
      <c r="AN154" t="s">
        <v>384</v>
      </c>
      <c r="AO154" t="s">
        <v>384</v>
      </c>
      <c r="AP154" t="s">
        <v>384</v>
      </c>
      <c r="AQ154" t="s">
        <v>384</v>
      </c>
      <c r="AR154" t="s">
        <v>384</v>
      </c>
      <c r="AS154" t="s">
        <v>384</v>
      </c>
      <c r="AT154" t="s">
        <v>384</v>
      </c>
      <c r="AU154" t="s">
        <v>384</v>
      </c>
      <c r="AV154" t="s">
        <v>384</v>
      </c>
      <c r="AW154" t="s">
        <v>384</v>
      </c>
      <c r="AX154" t="s">
        <v>385</v>
      </c>
      <c r="AY154" t="s">
        <v>384</v>
      </c>
      <c r="AZ154" t="s">
        <v>384</v>
      </c>
      <c r="BA154" t="s">
        <v>385</v>
      </c>
      <c r="BB154" t="s">
        <v>384</v>
      </c>
      <c r="BC154" t="s">
        <v>384</v>
      </c>
      <c r="BD154" t="s">
        <v>384</v>
      </c>
      <c r="BI154" t="s">
        <v>445</v>
      </c>
    </row>
    <row r="155" spans="1:61" x14ac:dyDescent="0.2">
      <c r="A155">
        <v>0</v>
      </c>
      <c r="B155">
        <v>1107</v>
      </c>
      <c r="D155" t="s">
        <v>348</v>
      </c>
      <c r="E155" t="s">
        <v>482</v>
      </c>
      <c r="F155" t="s">
        <v>684</v>
      </c>
      <c r="G155" t="s">
        <v>378</v>
      </c>
      <c r="J155" t="s">
        <v>87</v>
      </c>
      <c r="K155" s="21">
        <v>46219</v>
      </c>
      <c r="L155" s="21">
        <v>46221</v>
      </c>
      <c r="P155" t="s">
        <v>379</v>
      </c>
      <c r="Q155" t="s">
        <v>379</v>
      </c>
      <c r="S155" t="s">
        <v>380</v>
      </c>
      <c r="T155">
        <v>7586</v>
      </c>
      <c r="U155" t="s">
        <v>381</v>
      </c>
      <c r="AA155" t="s">
        <v>5</v>
      </c>
      <c r="AC155">
        <v>1107</v>
      </c>
      <c r="AD155">
        <v>46221</v>
      </c>
      <c r="AE155">
        <v>46161</v>
      </c>
      <c r="AF155">
        <v>102</v>
      </c>
      <c r="AG155">
        <v>102</v>
      </c>
      <c r="AH155" t="s">
        <v>519</v>
      </c>
      <c r="AI155" t="b">
        <v>0</v>
      </c>
      <c r="AJ155" t="s">
        <v>685</v>
      </c>
      <c r="AK155" t="s">
        <v>384</v>
      </c>
      <c r="AL155" t="s">
        <v>385</v>
      </c>
      <c r="AM155" t="s">
        <v>385</v>
      </c>
      <c r="AN155" t="s">
        <v>384</v>
      </c>
      <c r="AO155" t="s">
        <v>384</v>
      </c>
      <c r="AP155" t="s">
        <v>384</v>
      </c>
      <c r="AQ155" t="s">
        <v>384</v>
      </c>
      <c r="AR155" t="s">
        <v>384</v>
      </c>
      <c r="AS155" t="s">
        <v>384</v>
      </c>
      <c r="AT155" t="s">
        <v>384</v>
      </c>
      <c r="AU155" t="s">
        <v>384</v>
      </c>
      <c r="AV155" t="s">
        <v>384</v>
      </c>
      <c r="AW155" t="s">
        <v>384</v>
      </c>
      <c r="AX155" t="s">
        <v>385</v>
      </c>
      <c r="AY155" t="s">
        <v>384</v>
      </c>
      <c r="AZ155" t="s">
        <v>384</v>
      </c>
      <c r="BA155" t="s">
        <v>385</v>
      </c>
      <c r="BB155" t="s">
        <v>384</v>
      </c>
      <c r="BC155" t="s">
        <v>384</v>
      </c>
      <c r="BD155" t="s">
        <v>384</v>
      </c>
      <c r="BI155" t="s">
        <v>482</v>
      </c>
    </row>
    <row r="156" spans="1:61" x14ac:dyDescent="0.2">
      <c r="A156">
        <v>0</v>
      </c>
      <c r="B156">
        <v>1105</v>
      </c>
      <c r="D156" t="s">
        <v>348</v>
      </c>
      <c r="E156" t="s">
        <v>486</v>
      </c>
      <c r="F156" t="s">
        <v>686</v>
      </c>
      <c r="G156" t="s">
        <v>378</v>
      </c>
      <c r="J156" t="s">
        <v>87</v>
      </c>
      <c r="K156" s="21">
        <v>46219</v>
      </c>
      <c r="L156" s="21">
        <v>46221</v>
      </c>
      <c r="P156" t="s">
        <v>379</v>
      </c>
      <c r="Q156" t="s">
        <v>379</v>
      </c>
      <c r="S156" t="s">
        <v>380</v>
      </c>
      <c r="T156">
        <v>7584</v>
      </c>
      <c r="U156" t="s">
        <v>381</v>
      </c>
      <c r="AA156" t="s">
        <v>5</v>
      </c>
      <c r="AC156">
        <v>1105</v>
      </c>
      <c r="AD156">
        <v>46221</v>
      </c>
      <c r="AE156">
        <v>46161</v>
      </c>
      <c r="AF156">
        <v>102</v>
      </c>
      <c r="AG156">
        <v>102</v>
      </c>
      <c r="AH156" t="s">
        <v>519</v>
      </c>
      <c r="AI156" t="b">
        <v>0</v>
      </c>
      <c r="AJ156" t="s">
        <v>687</v>
      </c>
      <c r="AK156" t="s">
        <v>384</v>
      </c>
      <c r="AL156" t="s">
        <v>385</v>
      </c>
      <c r="AM156" t="s">
        <v>385</v>
      </c>
      <c r="AN156" t="s">
        <v>384</v>
      </c>
      <c r="AO156" t="s">
        <v>384</v>
      </c>
      <c r="AP156" t="s">
        <v>384</v>
      </c>
      <c r="AQ156" t="s">
        <v>384</v>
      </c>
      <c r="AR156" t="s">
        <v>384</v>
      </c>
      <c r="AS156" t="s">
        <v>384</v>
      </c>
      <c r="AT156" t="s">
        <v>384</v>
      </c>
      <c r="AU156" t="s">
        <v>384</v>
      </c>
      <c r="AV156" t="s">
        <v>384</v>
      </c>
      <c r="AW156" t="s">
        <v>384</v>
      </c>
      <c r="AX156" t="s">
        <v>385</v>
      </c>
      <c r="AY156" t="s">
        <v>384</v>
      </c>
      <c r="AZ156" t="s">
        <v>384</v>
      </c>
      <c r="BA156" t="s">
        <v>385</v>
      </c>
      <c r="BB156" t="s">
        <v>384</v>
      </c>
      <c r="BC156" t="s">
        <v>384</v>
      </c>
      <c r="BD156" t="s">
        <v>384</v>
      </c>
      <c r="BI156" t="s">
        <v>486</v>
      </c>
    </row>
    <row r="157" spans="1:61" x14ac:dyDescent="0.2">
      <c r="A157">
        <v>0</v>
      </c>
      <c r="B157">
        <v>908</v>
      </c>
      <c r="D157" t="s">
        <v>348</v>
      </c>
      <c r="E157" t="s">
        <v>688</v>
      </c>
      <c r="F157" t="s">
        <v>416</v>
      </c>
      <c r="G157" t="s">
        <v>378</v>
      </c>
      <c r="J157" t="s">
        <v>87</v>
      </c>
      <c r="K157" s="21">
        <v>46219</v>
      </c>
      <c r="L157" s="21">
        <v>46221</v>
      </c>
      <c r="P157" t="s">
        <v>379</v>
      </c>
      <c r="Q157" t="s">
        <v>379</v>
      </c>
      <c r="T157">
        <v>5697</v>
      </c>
      <c r="U157" t="s">
        <v>381</v>
      </c>
      <c r="Y157" t="b">
        <v>1</v>
      </c>
      <c r="AA157" t="s">
        <v>94</v>
      </c>
      <c r="AC157">
        <v>908</v>
      </c>
      <c r="AD157">
        <v>46225</v>
      </c>
      <c r="AE157">
        <v>46161</v>
      </c>
      <c r="AF157">
        <v>102</v>
      </c>
      <c r="AG157">
        <v>102</v>
      </c>
      <c r="AH157" t="s">
        <v>414</v>
      </c>
      <c r="AI157" t="b">
        <v>0</v>
      </c>
      <c r="AJ157" t="s">
        <v>689</v>
      </c>
      <c r="AK157" t="s">
        <v>384</v>
      </c>
      <c r="AL157" t="s">
        <v>385</v>
      </c>
      <c r="AM157" t="s">
        <v>385</v>
      </c>
      <c r="AN157" t="s">
        <v>384</v>
      </c>
      <c r="AO157" t="s">
        <v>384</v>
      </c>
      <c r="AP157" t="s">
        <v>384</v>
      </c>
      <c r="AQ157" t="s">
        <v>384</v>
      </c>
      <c r="AR157" t="s">
        <v>384</v>
      </c>
      <c r="AS157" t="s">
        <v>384</v>
      </c>
      <c r="AT157" t="s">
        <v>384</v>
      </c>
      <c r="AU157" t="s">
        <v>384</v>
      </c>
      <c r="AV157" t="s">
        <v>384</v>
      </c>
      <c r="AW157" t="s">
        <v>384</v>
      </c>
      <c r="AX157" t="s">
        <v>385</v>
      </c>
      <c r="AY157" t="s">
        <v>384</v>
      </c>
      <c r="AZ157" t="s">
        <v>384</v>
      </c>
      <c r="BA157" t="s">
        <v>385</v>
      </c>
      <c r="BB157" t="s">
        <v>384</v>
      </c>
      <c r="BC157" t="s">
        <v>384</v>
      </c>
      <c r="BD157" t="s">
        <v>384</v>
      </c>
      <c r="BI157" t="s">
        <v>688</v>
      </c>
    </row>
    <row r="158" spans="1:61" x14ac:dyDescent="0.2">
      <c r="A158">
        <v>0</v>
      </c>
      <c r="B158">
        <v>906</v>
      </c>
      <c r="D158" t="s">
        <v>348</v>
      </c>
      <c r="E158" t="s">
        <v>690</v>
      </c>
      <c r="F158" t="s">
        <v>490</v>
      </c>
      <c r="G158" t="s">
        <v>378</v>
      </c>
      <c r="J158" t="s">
        <v>87</v>
      </c>
      <c r="K158" s="21">
        <v>46219</v>
      </c>
      <c r="L158" s="21">
        <v>46221</v>
      </c>
      <c r="P158" t="s">
        <v>379</v>
      </c>
      <c r="Q158" t="s">
        <v>379</v>
      </c>
      <c r="T158">
        <v>5695</v>
      </c>
      <c r="U158" t="s">
        <v>381</v>
      </c>
      <c r="Y158" t="b">
        <v>1</v>
      </c>
      <c r="AA158" t="s">
        <v>94</v>
      </c>
      <c r="AC158">
        <v>906</v>
      </c>
      <c r="AD158">
        <v>46225</v>
      </c>
      <c r="AE158">
        <v>46161</v>
      </c>
      <c r="AF158">
        <v>102</v>
      </c>
      <c r="AG158">
        <v>102</v>
      </c>
      <c r="AH158" t="s">
        <v>414</v>
      </c>
      <c r="AI158" t="b">
        <v>0</v>
      </c>
      <c r="AJ158" t="s">
        <v>691</v>
      </c>
      <c r="AK158" t="s">
        <v>384</v>
      </c>
      <c r="AL158" t="s">
        <v>385</v>
      </c>
      <c r="AM158" t="s">
        <v>385</v>
      </c>
      <c r="AN158" t="s">
        <v>384</v>
      </c>
      <c r="AO158" t="s">
        <v>384</v>
      </c>
      <c r="AP158" t="s">
        <v>384</v>
      </c>
      <c r="AQ158" t="s">
        <v>384</v>
      </c>
      <c r="AR158" t="s">
        <v>384</v>
      </c>
      <c r="AS158" t="s">
        <v>384</v>
      </c>
      <c r="AT158" t="s">
        <v>384</v>
      </c>
      <c r="AU158" t="s">
        <v>384</v>
      </c>
      <c r="AV158" t="s">
        <v>384</v>
      </c>
      <c r="AW158" t="s">
        <v>384</v>
      </c>
      <c r="AX158" t="s">
        <v>385</v>
      </c>
      <c r="AY158" t="s">
        <v>384</v>
      </c>
      <c r="AZ158" t="s">
        <v>384</v>
      </c>
      <c r="BA158" t="s">
        <v>385</v>
      </c>
      <c r="BB158" t="s">
        <v>384</v>
      </c>
      <c r="BC158" t="s">
        <v>384</v>
      </c>
      <c r="BD158" t="s">
        <v>384</v>
      </c>
      <c r="BI158" t="s">
        <v>690</v>
      </c>
    </row>
    <row r="159" spans="1:61" x14ac:dyDescent="0.2">
      <c r="A159">
        <v>0</v>
      </c>
      <c r="B159">
        <v>905</v>
      </c>
      <c r="D159" t="s">
        <v>348</v>
      </c>
      <c r="E159" t="s">
        <v>692</v>
      </c>
      <c r="F159" t="s">
        <v>490</v>
      </c>
      <c r="G159" t="s">
        <v>378</v>
      </c>
      <c r="J159" t="s">
        <v>87</v>
      </c>
      <c r="K159" s="21">
        <v>46219</v>
      </c>
      <c r="L159" s="21">
        <v>46221</v>
      </c>
      <c r="P159" t="s">
        <v>379</v>
      </c>
      <c r="Q159" t="s">
        <v>379</v>
      </c>
      <c r="T159">
        <v>5694</v>
      </c>
      <c r="U159" t="s">
        <v>381</v>
      </c>
      <c r="Y159" t="b">
        <v>1</v>
      </c>
      <c r="AA159" t="s">
        <v>94</v>
      </c>
      <c r="AC159">
        <v>905</v>
      </c>
      <c r="AD159">
        <v>46225</v>
      </c>
      <c r="AE159">
        <v>46161</v>
      </c>
      <c r="AF159">
        <v>102</v>
      </c>
      <c r="AG159">
        <v>102</v>
      </c>
      <c r="AH159" t="s">
        <v>414</v>
      </c>
      <c r="AI159" t="b">
        <v>0</v>
      </c>
      <c r="AJ159" t="s">
        <v>693</v>
      </c>
      <c r="AK159" t="s">
        <v>384</v>
      </c>
      <c r="AL159" t="s">
        <v>385</v>
      </c>
      <c r="AM159" t="s">
        <v>385</v>
      </c>
      <c r="AN159" t="s">
        <v>384</v>
      </c>
      <c r="AO159" t="s">
        <v>384</v>
      </c>
      <c r="AP159" t="s">
        <v>384</v>
      </c>
      <c r="AQ159" t="s">
        <v>384</v>
      </c>
      <c r="AR159" t="s">
        <v>384</v>
      </c>
      <c r="AS159" t="s">
        <v>384</v>
      </c>
      <c r="AT159" t="s">
        <v>384</v>
      </c>
      <c r="AU159" t="s">
        <v>384</v>
      </c>
      <c r="AV159" t="s">
        <v>384</v>
      </c>
      <c r="AW159" t="s">
        <v>384</v>
      </c>
      <c r="AX159" t="s">
        <v>385</v>
      </c>
      <c r="AY159" t="s">
        <v>384</v>
      </c>
      <c r="AZ159" t="s">
        <v>384</v>
      </c>
      <c r="BA159" t="s">
        <v>385</v>
      </c>
      <c r="BB159" t="s">
        <v>384</v>
      </c>
      <c r="BC159" t="s">
        <v>384</v>
      </c>
      <c r="BD159" t="s">
        <v>384</v>
      </c>
      <c r="BI159" t="s">
        <v>692</v>
      </c>
    </row>
    <row r="160" spans="1:61" x14ac:dyDescent="0.2">
      <c r="A160">
        <v>0</v>
      </c>
      <c r="B160">
        <v>910</v>
      </c>
      <c r="D160" t="s">
        <v>348</v>
      </c>
      <c r="E160" t="s">
        <v>489</v>
      </c>
      <c r="F160" t="s">
        <v>490</v>
      </c>
      <c r="G160" t="s">
        <v>378</v>
      </c>
      <c r="J160" t="s">
        <v>87</v>
      </c>
      <c r="K160" s="21">
        <v>46219</v>
      </c>
      <c r="L160" s="21">
        <v>46221</v>
      </c>
      <c r="P160" t="s">
        <v>379</v>
      </c>
      <c r="Q160" t="s">
        <v>379</v>
      </c>
      <c r="T160">
        <v>5699</v>
      </c>
      <c r="U160" t="s">
        <v>381</v>
      </c>
      <c r="Y160" t="b">
        <v>1</v>
      </c>
      <c r="AA160" t="s">
        <v>94</v>
      </c>
      <c r="AC160">
        <v>910</v>
      </c>
      <c r="AD160">
        <v>46225</v>
      </c>
      <c r="AE160">
        <v>46161</v>
      </c>
      <c r="AF160">
        <v>102</v>
      </c>
      <c r="AG160">
        <v>102</v>
      </c>
      <c r="AH160" t="s">
        <v>414</v>
      </c>
      <c r="AI160" t="b">
        <v>0</v>
      </c>
      <c r="AJ160" t="s">
        <v>694</v>
      </c>
      <c r="AK160" t="s">
        <v>384</v>
      </c>
      <c r="AL160" t="s">
        <v>385</v>
      </c>
      <c r="AM160" t="s">
        <v>385</v>
      </c>
      <c r="AN160" t="s">
        <v>384</v>
      </c>
      <c r="AO160" t="s">
        <v>384</v>
      </c>
      <c r="AP160" t="s">
        <v>384</v>
      </c>
      <c r="AQ160" t="s">
        <v>384</v>
      </c>
      <c r="AR160" t="s">
        <v>384</v>
      </c>
      <c r="AS160" t="s">
        <v>384</v>
      </c>
      <c r="AT160" t="s">
        <v>384</v>
      </c>
      <c r="AU160" t="s">
        <v>384</v>
      </c>
      <c r="AV160" t="s">
        <v>384</v>
      </c>
      <c r="AW160" t="s">
        <v>384</v>
      </c>
      <c r="AX160" t="s">
        <v>385</v>
      </c>
      <c r="AY160" t="s">
        <v>384</v>
      </c>
      <c r="AZ160" t="s">
        <v>384</v>
      </c>
      <c r="BA160" t="s">
        <v>385</v>
      </c>
      <c r="BB160" t="s">
        <v>384</v>
      </c>
      <c r="BC160" t="s">
        <v>384</v>
      </c>
      <c r="BD160" t="s">
        <v>384</v>
      </c>
      <c r="BI160" t="s">
        <v>489</v>
      </c>
    </row>
    <row r="161" spans="1:61" x14ac:dyDescent="0.2">
      <c r="A161">
        <v>0</v>
      </c>
      <c r="B161">
        <v>1163</v>
      </c>
      <c r="D161" t="s">
        <v>348</v>
      </c>
      <c r="E161" t="s">
        <v>695</v>
      </c>
      <c r="G161" t="s">
        <v>696</v>
      </c>
      <c r="I161" t="s">
        <v>658</v>
      </c>
      <c r="J161" t="s">
        <v>697</v>
      </c>
      <c r="K161" s="21">
        <v>46219</v>
      </c>
      <c r="L161" s="21">
        <v>46219</v>
      </c>
      <c r="P161" t="s">
        <v>379</v>
      </c>
      <c r="Q161" t="s">
        <v>379</v>
      </c>
      <c r="U161" t="s">
        <v>381</v>
      </c>
      <c r="X161">
        <v>12</v>
      </c>
      <c r="Y161" t="b">
        <v>1</v>
      </c>
      <c r="AA161" t="s">
        <v>6</v>
      </c>
      <c r="AC161">
        <v>1163</v>
      </c>
      <c r="AD161">
        <v>46219</v>
      </c>
      <c r="AE161">
        <v>46219</v>
      </c>
      <c r="AF161">
        <v>102</v>
      </c>
      <c r="AG161">
        <v>102</v>
      </c>
      <c r="AH161" t="s">
        <v>660</v>
      </c>
      <c r="AI161" t="b">
        <v>0</v>
      </c>
      <c r="AJ161" t="s">
        <v>698</v>
      </c>
      <c r="AK161" t="s">
        <v>384</v>
      </c>
      <c r="AL161" t="s">
        <v>385</v>
      </c>
      <c r="AM161" t="s">
        <v>385</v>
      </c>
      <c r="AN161" t="s">
        <v>384</v>
      </c>
      <c r="AO161" t="s">
        <v>384</v>
      </c>
      <c r="AP161" t="s">
        <v>384</v>
      </c>
      <c r="AQ161" t="s">
        <v>384</v>
      </c>
      <c r="AR161" t="s">
        <v>384</v>
      </c>
      <c r="AS161" t="s">
        <v>384</v>
      </c>
      <c r="AT161" t="s">
        <v>384</v>
      </c>
      <c r="AU161" t="s">
        <v>384</v>
      </c>
      <c r="AV161" t="s">
        <v>384</v>
      </c>
      <c r="AW161" t="s">
        <v>384</v>
      </c>
      <c r="AX161" t="s">
        <v>385</v>
      </c>
      <c r="AY161" t="s">
        <v>384</v>
      </c>
      <c r="AZ161" t="s">
        <v>384</v>
      </c>
      <c r="BA161" t="s">
        <v>385</v>
      </c>
      <c r="BB161" t="s">
        <v>384</v>
      </c>
      <c r="BC161" t="s">
        <v>384</v>
      </c>
      <c r="BD161" t="s">
        <v>384</v>
      </c>
      <c r="BH161" t="s">
        <v>662</v>
      </c>
      <c r="BI161" t="s">
        <v>699</v>
      </c>
    </row>
    <row r="162" spans="1:61" x14ac:dyDescent="0.2">
      <c r="A162">
        <v>0</v>
      </c>
      <c r="B162">
        <v>997</v>
      </c>
      <c r="D162" t="s">
        <v>348</v>
      </c>
      <c r="E162" t="s">
        <v>405</v>
      </c>
      <c r="F162" t="s">
        <v>406</v>
      </c>
      <c r="G162" t="s">
        <v>378</v>
      </c>
      <c r="J162" t="s">
        <v>87</v>
      </c>
      <c r="K162" s="21">
        <v>46221</v>
      </c>
      <c r="L162" s="21">
        <v>46221</v>
      </c>
      <c r="P162" t="s">
        <v>379</v>
      </c>
      <c r="Q162" t="s">
        <v>379</v>
      </c>
      <c r="T162">
        <v>5787</v>
      </c>
      <c r="U162" t="s">
        <v>381</v>
      </c>
      <c r="Y162" t="b">
        <v>1</v>
      </c>
      <c r="AA162" t="s">
        <v>94</v>
      </c>
      <c r="AC162">
        <v>997</v>
      </c>
      <c r="AD162">
        <v>46225</v>
      </c>
      <c r="AE162">
        <v>46161</v>
      </c>
      <c r="AF162">
        <v>102</v>
      </c>
      <c r="AG162">
        <v>102</v>
      </c>
      <c r="AH162" t="s">
        <v>414</v>
      </c>
      <c r="AI162" t="b">
        <v>0</v>
      </c>
      <c r="AJ162" t="s">
        <v>700</v>
      </c>
      <c r="AK162" t="s">
        <v>384</v>
      </c>
      <c r="AL162" t="s">
        <v>385</v>
      </c>
      <c r="AM162" t="s">
        <v>385</v>
      </c>
      <c r="AN162" t="s">
        <v>384</v>
      </c>
      <c r="AO162" t="s">
        <v>384</v>
      </c>
      <c r="AP162" t="s">
        <v>384</v>
      </c>
      <c r="AQ162" t="s">
        <v>384</v>
      </c>
      <c r="AR162" t="s">
        <v>384</v>
      </c>
      <c r="AS162" t="s">
        <v>384</v>
      </c>
      <c r="AT162" t="s">
        <v>384</v>
      </c>
      <c r="AU162" t="s">
        <v>384</v>
      </c>
      <c r="AV162" t="s">
        <v>384</v>
      </c>
      <c r="AW162" t="s">
        <v>384</v>
      </c>
      <c r="AX162" t="s">
        <v>385</v>
      </c>
      <c r="AY162" t="s">
        <v>384</v>
      </c>
      <c r="AZ162" t="s">
        <v>384</v>
      </c>
      <c r="BA162" t="s">
        <v>385</v>
      </c>
      <c r="BB162" t="s">
        <v>384</v>
      </c>
      <c r="BC162" t="s">
        <v>384</v>
      </c>
      <c r="BD162" t="s">
        <v>384</v>
      </c>
      <c r="BI162" t="s">
        <v>405</v>
      </c>
    </row>
    <row r="163" spans="1:61" x14ac:dyDescent="0.2">
      <c r="A163">
        <v>0</v>
      </c>
      <c r="B163">
        <v>1005</v>
      </c>
      <c r="D163" t="s">
        <v>348</v>
      </c>
      <c r="E163" t="s">
        <v>701</v>
      </c>
      <c r="F163" t="s">
        <v>702</v>
      </c>
      <c r="G163" t="s">
        <v>378</v>
      </c>
      <c r="J163" t="s">
        <v>87</v>
      </c>
      <c r="K163" s="21">
        <v>46221</v>
      </c>
      <c r="L163" s="21">
        <v>46221</v>
      </c>
      <c r="P163" t="s">
        <v>379</v>
      </c>
      <c r="Q163" t="s">
        <v>379</v>
      </c>
      <c r="S163" t="s">
        <v>703</v>
      </c>
      <c r="T163">
        <v>6590</v>
      </c>
      <c r="U163" t="s">
        <v>381</v>
      </c>
      <c r="Y163" t="b">
        <v>1</v>
      </c>
      <c r="AA163" t="s">
        <v>94</v>
      </c>
      <c r="AC163">
        <v>1005</v>
      </c>
      <c r="AD163">
        <v>46225</v>
      </c>
      <c r="AE163">
        <v>46161</v>
      </c>
      <c r="AF163">
        <v>102</v>
      </c>
      <c r="AG163">
        <v>102</v>
      </c>
      <c r="AH163" t="s">
        <v>414</v>
      </c>
      <c r="AI163" t="b">
        <v>0</v>
      </c>
      <c r="AJ163" t="s">
        <v>704</v>
      </c>
      <c r="AK163" t="s">
        <v>384</v>
      </c>
      <c r="AL163" t="s">
        <v>385</v>
      </c>
      <c r="AM163" t="s">
        <v>385</v>
      </c>
      <c r="AN163" t="s">
        <v>384</v>
      </c>
      <c r="AO163" t="s">
        <v>384</v>
      </c>
      <c r="AP163" t="s">
        <v>384</v>
      </c>
      <c r="AQ163" t="s">
        <v>384</v>
      </c>
      <c r="AR163" t="s">
        <v>384</v>
      </c>
      <c r="AS163" t="s">
        <v>384</v>
      </c>
      <c r="AT163" t="s">
        <v>384</v>
      </c>
      <c r="AU163" t="s">
        <v>384</v>
      </c>
      <c r="AV163" t="s">
        <v>384</v>
      </c>
      <c r="AW163" t="s">
        <v>384</v>
      </c>
      <c r="AX163" t="s">
        <v>385</v>
      </c>
      <c r="AY163" t="s">
        <v>384</v>
      </c>
      <c r="AZ163" t="s">
        <v>384</v>
      </c>
      <c r="BA163" t="s">
        <v>385</v>
      </c>
      <c r="BB163" t="s">
        <v>384</v>
      </c>
      <c r="BC163" t="s">
        <v>384</v>
      </c>
      <c r="BD163" t="s">
        <v>384</v>
      </c>
      <c r="BI163" t="s">
        <v>701</v>
      </c>
    </row>
    <row r="164" spans="1:61" x14ac:dyDescent="0.2">
      <c r="A164">
        <v>0</v>
      </c>
      <c r="B164">
        <v>976</v>
      </c>
      <c r="D164" t="s">
        <v>348</v>
      </c>
      <c r="E164" t="s">
        <v>440</v>
      </c>
      <c r="F164" t="s">
        <v>406</v>
      </c>
      <c r="G164" t="s">
        <v>378</v>
      </c>
      <c r="J164" t="s">
        <v>87</v>
      </c>
      <c r="K164" s="21">
        <v>46222</v>
      </c>
      <c r="L164" s="21">
        <v>46222</v>
      </c>
      <c r="P164" t="s">
        <v>379</v>
      </c>
      <c r="Q164" t="s">
        <v>379</v>
      </c>
      <c r="T164">
        <v>5766</v>
      </c>
      <c r="U164" t="s">
        <v>381</v>
      </c>
      <c r="Y164" t="b">
        <v>1</v>
      </c>
      <c r="Z164" t="s">
        <v>413</v>
      </c>
      <c r="AA164" t="s">
        <v>94</v>
      </c>
      <c r="AC164">
        <v>976</v>
      </c>
      <c r="AD164">
        <v>46225</v>
      </c>
      <c r="AE164">
        <v>46161</v>
      </c>
      <c r="AF164">
        <v>102</v>
      </c>
      <c r="AG164">
        <v>102</v>
      </c>
      <c r="AH164" t="s">
        <v>676</v>
      </c>
      <c r="AI164" t="b">
        <v>0</v>
      </c>
      <c r="AJ164" t="s">
        <v>705</v>
      </c>
      <c r="AK164" t="s">
        <v>384</v>
      </c>
      <c r="AL164" t="s">
        <v>385</v>
      </c>
      <c r="AM164" t="s">
        <v>385</v>
      </c>
      <c r="AN164" t="s">
        <v>384</v>
      </c>
      <c r="AO164" t="s">
        <v>384</v>
      </c>
      <c r="AP164" t="s">
        <v>384</v>
      </c>
      <c r="AQ164" t="s">
        <v>384</v>
      </c>
      <c r="AR164" t="s">
        <v>384</v>
      </c>
      <c r="AS164" t="s">
        <v>384</v>
      </c>
      <c r="AT164" t="s">
        <v>384</v>
      </c>
      <c r="AU164" t="s">
        <v>384</v>
      </c>
      <c r="AV164" t="s">
        <v>384</v>
      </c>
      <c r="AW164" t="s">
        <v>384</v>
      </c>
      <c r="AX164" t="s">
        <v>385</v>
      </c>
      <c r="AY164" t="s">
        <v>384</v>
      </c>
      <c r="AZ164" t="s">
        <v>384</v>
      </c>
      <c r="BA164" t="s">
        <v>385</v>
      </c>
      <c r="BB164" t="s">
        <v>384</v>
      </c>
      <c r="BC164" t="s">
        <v>384</v>
      </c>
      <c r="BD164" t="s">
        <v>384</v>
      </c>
      <c r="BI164" t="s">
        <v>440</v>
      </c>
    </row>
    <row r="165" spans="1:61" x14ac:dyDescent="0.2">
      <c r="A165">
        <v>0</v>
      </c>
      <c r="B165">
        <v>956</v>
      </c>
      <c r="D165" t="s">
        <v>348</v>
      </c>
      <c r="E165" t="s">
        <v>409</v>
      </c>
      <c r="F165" t="s">
        <v>410</v>
      </c>
      <c r="G165" t="s">
        <v>378</v>
      </c>
      <c r="J165" t="s">
        <v>87</v>
      </c>
      <c r="K165" s="21">
        <v>46222</v>
      </c>
      <c r="L165" s="21">
        <v>46222</v>
      </c>
      <c r="P165" t="s">
        <v>379</v>
      </c>
      <c r="Q165" t="s">
        <v>379</v>
      </c>
      <c r="T165">
        <v>5746</v>
      </c>
      <c r="U165" t="s">
        <v>381</v>
      </c>
      <c r="AA165" t="s">
        <v>5</v>
      </c>
      <c r="AC165">
        <v>956</v>
      </c>
      <c r="AD165">
        <v>46221</v>
      </c>
      <c r="AE165">
        <v>46161</v>
      </c>
      <c r="AF165">
        <v>102</v>
      </c>
      <c r="AG165">
        <v>102</v>
      </c>
      <c r="AH165" t="s">
        <v>519</v>
      </c>
      <c r="AI165" t="b">
        <v>0</v>
      </c>
      <c r="AJ165" t="s">
        <v>706</v>
      </c>
      <c r="AK165" t="s">
        <v>384</v>
      </c>
      <c r="AL165" t="s">
        <v>385</v>
      </c>
      <c r="AM165" t="s">
        <v>385</v>
      </c>
      <c r="AN165" t="s">
        <v>384</v>
      </c>
      <c r="AO165" t="s">
        <v>384</v>
      </c>
      <c r="AP165" t="s">
        <v>384</v>
      </c>
      <c r="AQ165" t="s">
        <v>384</v>
      </c>
      <c r="AR165" t="s">
        <v>384</v>
      </c>
      <c r="AS165" t="s">
        <v>384</v>
      </c>
      <c r="AT165" t="s">
        <v>384</v>
      </c>
      <c r="AU165" t="s">
        <v>384</v>
      </c>
      <c r="AV165" t="s">
        <v>384</v>
      </c>
      <c r="AW165" t="s">
        <v>384</v>
      </c>
      <c r="AX165" t="s">
        <v>385</v>
      </c>
      <c r="AY165" t="s">
        <v>384</v>
      </c>
      <c r="AZ165" t="s">
        <v>384</v>
      </c>
      <c r="BA165" t="s">
        <v>385</v>
      </c>
      <c r="BB165" t="s">
        <v>384</v>
      </c>
      <c r="BC165" t="s">
        <v>384</v>
      </c>
      <c r="BD165" t="s">
        <v>384</v>
      </c>
      <c r="BI165" t="s">
        <v>409</v>
      </c>
    </row>
    <row r="166" spans="1:61" x14ac:dyDescent="0.2">
      <c r="A166">
        <v>0</v>
      </c>
      <c r="B166">
        <v>1106</v>
      </c>
      <c r="D166" t="s">
        <v>348</v>
      </c>
      <c r="E166" t="s">
        <v>498</v>
      </c>
      <c r="F166" t="s">
        <v>707</v>
      </c>
      <c r="G166" t="s">
        <v>378</v>
      </c>
      <c r="J166" t="s">
        <v>87</v>
      </c>
      <c r="K166" s="21">
        <v>46223</v>
      </c>
      <c r="L166" s="21">
        <v>46223</v>
      </c>
      <c r="P166" t="s">
        <v>379</v>
      </c>
      <c r="Q166" t="s">
        <v>379</v>
      </c>
      <c r="S166" t="s">
        <v>380</v>
      </c>
      <c r="T166">
        <v>7585</v>
      </c>
      <c r="U166" t="s">
        <v>381</v>
      </c>
      <c r="AA166" t="s">
        <v>5</v>
      </c>
      <c r="AC166">
        <v>1106</v>
      </c>
      <c r="AD166">
        <v>46221</v>
      </c>
      <c r="AE166">
        <v>46161</v>
      </c>
      <c r="AF166">
        <v>102</v>
      </c>
      <c r="AG166">
        <v>102</v>
      </c>
      <c r="AH166" t="s">
        <v>519</v>
      </c>
      <c r="AI166" t="b">
        <v>0</v>
      </c>
      <c r="AJ166" t="s">
        <v>708</v>
      </c>
      <c r="AK166" t="s">
        <v>384</v>
      </c>
      <c r="AL166" t="s">
        <v>385</v>
      </c>
      <c r="AM166" t="s">
        <v>385</v>
      </c>
      <c r="AN166" t="s">
        <v>384</v>
      </c>
      <c r="AO166" t="s">
        <v>384</v>
      </c>
      <c r="AP166" t="s">
        <v>384</v>
      </c>
      <c r="AQ166" t="s">
        <v>384</v>
      </c>
      <c r="AR166" t="s">
        <v>384</v>
      </c>
      <c r="AS166" t="s">
        <v>384</v>
      </c>
      <c r="AT166" t="s">
        <v>384</v>
      </c>
      <c r="AU166" t="s">
        <v>384</v>
      </c>
      <c r="AV166" t="s">
        <v>384</v>
      </c>
      <c r="AW166" t="s">
        <v>384</v>
      </c>
      <c r="AX166" t="s">
        <v>385</v>
      </c>
      <c r="AY166" t="s">
        <v>384</v>
      </c>
      <c r="AZ166" t="s">
        <v>384</v>
      </c>
      <c r="BA166" t="s">
        <v>385</v>
      </c>
      <c r="BB166" t="s">
        <v>384</v>
      </c>
      <c r="BC166" t="s">
        <v>384</v>
      </c>
      <c r="BD166" t="s">
        <v>384</v>
      </c>
      <c r="BI166" t="s">
        <v>498</v>
      </c>
    </row>
    <row r="167" spans="1:61" x14ac:dyDescent="0.2">
      <c r="A167">
        <v>0</v>
      </c>
      <c r="B167">
        <v>903</v>
      </c>
      <c r="D167" t="s">
        <v>348</v>
      </c>
      <c r="E167" t="s">
        <v>709</v>
      </c>
      <c r="G167" t="s">
        <v>378</v>
      </c>
      <c r="J167" t="s">
        <v>87</v>
      </c>
      <c r="K167" s="21">
        <v>46226</v>
      </c>
      <c r="L167" s="21">
        <v>46228</v>
      </c>
      <c r="P167" t="s">
        <v>379</v>
      </c>
      <c r="Q167" t="s">
        <v>379</v>
      </c>
      <c r="T167">
        <v>5692</v>
      </c>
      <c r="U167" t="s">
        <v>381</v>
      </c>
      <c r="Y167" t="b">
        <v>1</v>
      </c>
      <c r="AA167" t="s">
        <v>94</v>
      </c>
      <c r="AC167">
        <v>903</v>
      </c>
      <c r="AD167">
        <v>46225</v>
      </c>
      <c r="AE167">
        <v>46161</v>
      </c>
      <c r="AF167">
        <v>102</v>
      </c>
      <c r="AG167">
        <v>102</v>
      </c>
      <c r="AH167" t="s">
        <v>414</v>
      </c>
      <c r="AI167" t="b">
        <v>0</v>
      </c>
      <c r="AJ167" t="s">
        <v>710</v>
      </c>
      <c r="AK167" t="s">
        <v>384</v>
      </c>
      <c r="AL167" t="s">
        <v>385</v>
      </c>
      <c r="AM167" t="s">
        <v>385</v>
      </c>
      <c r="AN167" t="s">
        <v>384</v>
      </c>
      <c r="AO167" t="s">
        <v>384</v>
      </c>
      <c r="AP167" t="s">
        <v>384</v>
      </c>
      <c r="AQ167" t="s">
        <v>384</v>
      </c>
      <c r="AR167" t="s">
        <v>384</v>
      </c>
      <c r="AS167" t="s">
        <v>384</v>
      </c>
      <c r="AT167" t="s">
        <v>384</v>
      </c>
      <c r="AU167" t="s">
        <v>384</v>
      </c>
      <c r="AV167" t="s">
        <v>384</v>
      </c>
      <c r="AW167" t="s">
        <v>384</v>
      </c>
      <c r="AX167" t="s">
        <v>385</v>
      </c>
      <c r="AY167" t="s">
        <v>384</v>
      </c>
      <c r="AZ167" t="s">
        <v>384</v>
      </c>
      <c r="BA167" t="s">
        <v>385</v>
      </c>
      <c r="BB167" t="s">
        <v>384</v>
      </c>
      <c r="BC167" t="s">
        <v>384</v>
      </c>
      <c r="BD167" t="s">
        <v>384</v>
      </c>
      <c r="BI167" t="s">
        <v>709</v>
      </c>
    </row>
    <row r="168" spans="1:61" x14ac:dyDescent="0.2">
      <c r="A168">
        <v>0</v>
      </c>
      <c r="B168">
        <v>944</v>
      </c>
      <c r="D168" t="s">
        <v>348</v>
      </c>
      <c r="E168" t="s">
        <v>418</v>
      </c>
      <c r="F168" t="s">
        <v>419</v>
      </c>
      <c r="G168" t="s">
        <v>378</v>
      </c>
      <c r="J168" t="s">
        <v>87</v>
      </c>
      <c r="K168" s="21">
        <v>46230</v>
      </c>
      <c r="L168" s="21">
        <v>46230</v>
      </c>
      <c r="P168" t="s">
        <v>379</v>
      </c>
      <c r="Q168" t="s">
        <v>379</v>
      </c>
      <c r="T168">
        <v>5734</v>
      </c>
      <c r="U168" t="s">
        <v>381</v>
      </c>
      <c r="AA168" t="s">
        <v>5</v>
      </c>
      <c r="AC168">
        <v>944</v>
      </c>
      <c r="AD168">
        <v>46221</v>
      </c>
      <c r="AE168">
        <v>46161</v>
      </c>
      <c r="AF168">
        <v>102</v>
      </c>
      <c r="AG168">
        <v>102</v>
      </c>
      <c r="AH168" t="s">
        <v>519</v>
      </c>
      <c r="AI168" t="b">
        <v>0</v>
      </c>
      <c r="AJ168" t="s">
        <v>711</v>
      </c>
      <c r="AK168" t="s">
        <v>384</v>
      </c>
      <c r="AL168" t="s">
        <v>385</v>
      </c>
      <c r="AM168" t="s">
        <v>385</v>
      </c>
      <c r="AN168" t="s">
        <v>384</v>
      </c>
      <c r="AO168" t="s">
        <v>384</v>
      </c>
      <c r="AP168" t="s">
        <v>384</v>
      </c>
      <c r="AQ168" t="s">
        <v>384</v>
      </c>
      <c r="AR168" t="s">
        <v>384</v>
      </c>
      <c r="AS168" t="s">
        <v>384</v>
      </c>
      <c r="AT168" t="s">
        <v>384</v>
      </c>
      <c r="AU168" t="s">
        <v>384</v>
      </c>
      <c r="AV168" t="s">
        <v>384</v>
      </c>
      <c r="AW168" t="s">
        <v>384</v>
      </c>
      <c r="AX168" t="s">
        <v>385</v>
      </c>
      <c r="AY168" t="s">
        <v>384</v>
      </c>
      <c r="AZ168" t="s">
        <v>384</v>
      </c>
      <c r="BA168" t="s">
        <v>385</v>
      </c>
      <c r="BB168" t="s">
        <v>384</v>
      </c>
      <c r="BC168" t="s">
        <v>384</v>
      </c>
      <c r="BD168" t="s">
        <v>384</v>
      </c>
      <c r="BI168" t="s">
        <v>418</v>
      </c>
    </row>
    <row r="169" spans="1:61" x14ac:dyDescent="0.2">
      <c r="A169">
        <v>0</v>
      </c>
      <c r="B169">
        <v>927</v>
      </c>
      <c r="D169" t="s">
        <v>348</v>
      </c>
      <c r="E169" t="s">
        <v>712</v>
      </c>
      <c r="F169" t="s">
        <v>713</v>
      </c>
      <c r="G169" t="s">
        <v>378</v>
      </c>
      <c r="J169" t="s">
        <v>87</v>
      </c>
      <c r="K169" s="21">
        <v>46232</v>
      </c>
      <c r="L169" s="21">
        <v>46232</v>
      </c>
      <c r="P169" t="s">
        <v>379</v>
      </c>
      <c r="Q169" t="s">
        <v>379</v>
      </c>
      <c r="T169">
        <v>5717</v>
      </c>
      <c r="U169" t="s">
        <v>381</v>
      </c>
      <c r="Y169" t="b">
        <v>1</v>
      </c>
      <c r="AA169" t="s">
        <v>94</v>
      </c>
      <c r="AC169">
        <v>927</v>
      </c>
      <c r="AD169">
        <v>46225</v>
      </c>
      <c r="AE169">
        <v>46161</v>
      </c>
      <c r="AF169">
        <v>102</v>
      </c>
      <c r="AG169">
        <v>102</v>
      </c>
      <c r="AH169" t="s">
        <v>414</v>
      </c>
      <c r="AI169" t="b">
        <v>0</v>
      </c>
      <c r="AJ169" t="s">
        <v>714</v>
      </c>
      <c r="AK169" t="s">
        <v>384</v>
      </c>
      <c r="AL169" t="s">
        <v>385</v>
      </c>
      <c r="AM169" t="s">
        <v>385</v>
      </c>
      <c r="AN169" t="s">
        <v>384</v>
      </c>
      <c r="AO169" t="s">
        <v>384</v>
      </c>
      <c r="AP169" t="s">
        <v>384</v>
      </c>
      <c r="AQ169" t="s">
        <v>384</v>
      </c>
      <c r="AR169" t="s">
        <v>384</v>
      </c>
      <c r="AS169" t="s">
        <v>384</v>
      </c>
      <c r="AT169" t="s">
        <v>384</v>
      </c>
      <c r="AU169" t="s">
        <v>384</v>
      </c>
      <c r="AV169" t="s">
        <v>384</v>
      </c>
      <c r="AW169" t="s">
        <v>384</v>
      </c>
      <c r="AX169" t="s">
        <v>385</v>
      </c>
      <c r="AY169" t="s">
        <v>384</v>
      </c>
      <c r="AZ169" t="s">
        <v>384</v>
      </c>
      <c r="BA169" t="s">
        <v>385</v>
      </c>
      <c r="BB169" t="s">
        <v>384</v>
      </c>
      <c r="BC169" t="s">
        <v>384</v>
      </c>
      <c r="BD169" t="s">
        <v>384</v>
      </c>
      <c r="BI169" t="s">
        <v>712</v>
      </c>
    </row>
    <row r="170" spans="1:61" x14ac:dyDescent="0.2">
      <c r="A170">
        <v>0</v>
      </c>
      <c r="B170">
        <v>1110</v>
      </c>
      <c r="D170" t="s">
        <v>348</v>
      </c>
      <c r="E170" t="s">
        <v>715</v>
      </c>
      <c r="F170" t="s">
        <v>716</v>
      </c>
      <c r="G170" t="s">
        <v>378</v>
      </c>
      <c r="J170" t="s">
        <v>87</v>
      </c>
      <c r="K170" s="21">
        <v>46233</v>
      </c>
      <c r="L170" s="21">
        <v>46235</v>
      </c>
      <c r="P170" t="s">
        <v>379</v>
      </c>
      <c r="Q170" t="s">
        <v>379</v>
      </c>
      <c r="S170" t="s">
        <v>380</v>
      </c>
      <c r="T170">
        <v>7589</v>
      </c>
      <c r="U170" t="s">
        <v>381</v>
      </c>
      <c r="AA170" t="s">
        <v>5</v>
      </c>
      <c r="AC170">
        <v>1110</v>
      </c>
      <c r="AD170">
        <v>46221</v>
      </c>
      <c r="AE170">
        <v>46161</v>
      </c>
      <c r="AF170">
        <v>102</v>
      </c>
      <c r="AG170">
        <v>102</v>
      </c>
      <c r="AH170" t="s">
        <v>519</v>
      </c>
      <c r="AI170" t="b">
        <v>0</v>
      </c>
      <c r="AJ170" t="s">
        <v>717</v>
      </c>
      <c r="AK170" t="s">
        <v>384</v>
      </c>
      <c r="AL170" t="s">
        <v>385</v>
      </c>
      <c r="AM170" t="s">
        <v>385</v>
      </c>
      <c r="AN170" t="s">
        <v>384</v>
      </c>
      <c r="AO170" t="s">
        <v>384</v>
      </c>
      <c r="AP170" t="s">
        <v>384</v>
      </c>
      <c r="AQ170" t="s">
        <v>384</v>
      </c>
      <c r="AR170" t="s">
        <v>384</v>
      </c>
      <c r="AS170" t="s">
        <v>384</v>
      </c>
      <c r="AT170" t="s">
        <v>384</v>
      </c>
      <c r="AU170" t="s">
        <v>384</v>
      </c>
      <c r="AV170" t="s">
        <v>384</v>
      </c>
      <c r="AW170" t="s">
        <v>384</v>
      </c>
      <c r="AX170" t="s">
        <v>385</v>
      </c>
      <c r="AY170" t="s">
        <v>384</v>
      </c>
      <c r="AZ170" t="s">
        <v>384</v>
      </c>
      <c r="BA170" t="s">
        <v>385</v>
      </c>
      <c r="BB170" t="s">
        <v>384</v>
      </c>
      <c r="BC170" t="s">
        <v>384</v>
      </c>
      <c r="BD170" t="s">
        <v>384</v>
      </c>
      <c r="BI170" t="s">
        <v>715</v>
      </c>
    </row>
    <row r="171" spans="1:61" x14ac:dyDescent="0.2">
      <c r="A171">
        <v>0</v>
      </c>
      <c r="B171">
        <v>1108</v>
      </c>
      <c r="D171" t="s">
        <v>348</v>
      </c>
      <c r="E171" t="s">
        <v>718</v>
      </c>
      <c r="F171" t="s">
        <v>719</v>
      </c>
      <c r="G171" t="s">
        <v>378</v>
      </c>
      <c r="J171" t="s">
        <v>87</v>
      </c>
      <c r="K171" s="21">
        <v>46233</v>
      </c>
      <c r="L171" s="21">
        <v>46235</v>
      </c>
      <c r="P171" t="s">
        <v>379</v>
      </c>
      <c r="Q171" t="s">
        <v>379</v>
      </c>
      <c r="S171" t="s">
        <v>380</v>
      </c>
      <c r="T171">
        <v>7587</v>
      </c>
      <c r="U171" t="s">
        <v>381</v>
      </c>
      <c r="Y171" t="b">
        <v>0</v>
      </c>
      <c r="AA171" t="s">
        <v>5</v>
      </c>
      <c r="AC171">
        <v>1108</v>
      </c>
      <c r="AD171">
        <v>46221</v>
      </c>
      <c r="AE171">
        <v>46161</v>
      </c>
      <c r="AF171">
        <v>102</v>
      </c>
      <c r="AG171">
        <v>102</v>
      </c>
      <c r="AH171" t="s">
        <v>414</v>
      </c>
      <c r="AI171" t="b">
        <v>0</v>
      </c>
      <c r="AJ171" t="s">
        <v>720</v>
      </c>
      <c r="AK171" t="s">
        <v>384</v>
      </c>
      <c r="AL171" t="s">
        <v>385</v>
      </c>
      <c r="AM171" t="s">
        <v>385</v>
      </c>
      <c r="AN171" t="s">
        <v>384</v>
      </c>
      <c r="AO171" t="s">
        <v>384</v>
      </c>
      <c r="AP171" t="s">
        <v>384</v>
      </c>
      <c r="AQ171" t="s">
        <v>384</v>
      </c>
      <c r="AR171" t="s">
        <v>384</v>
      </c>
      <c r="AS171" t="s">
        <v>384</v>
      </c>
      <c r="AT171" t="s">
        <v>384</v>
      </c>
      <c r="AU171" t="s">
        <v>384</v>
      </c>
      <c r="AV171" t="s">
        <v>384</v>
      </c>
      <c r="AW171" t="s">
        <v>384</v>
      </c>
      <c r="AX171" t="s">
        <v>385</v>
      </c>
      <c r="AY171" t="s">
        <v>384</v>
      </c>
      <c r="AZ171" t="s">
        <v>384</v>
      </c>
      <c r="BA171" t="s">
        <v>385</v>
      </c>
      <c r="BB171" t="s">
        <v>384</v>
      </c>
      <c r="BC171" t="s">
        <v>384</v>
      </c>
      <c r="BD171" t="s">
        <v>384</v>
      </c>
      <c r="BI171" t="s">
        <v>718</v>
      </c>
    </row>
    <row r="172" spans="1:61" x14ac:dyDescent="0.2">
      <c r="A172">
        <v>0</v>
      </c>
      <c r="B172">
        <v>1166</v>
      </c>
      <c r="D172" t="s">
        <v>348</v>
      </c>
      <c r="E172" t="s">
        <v>721</v>
      </c>
      <c r="F172" t="s">
        <v>722</v>
      </c>
      <c r="G172" t="s">
        <v>696</v>
      </c>
      <c r="I172" t="s">
        <v>658</v>
      </c>
      <c r="J172" t="s">
        <v>697</v>
      </c>
      <c r="K172" s="21">
        <v>46234</v>
      </c>
      <c r="L172" s="21">
        <v>46247</v>
      </c>
      <c r="P172" t="s">
        <v>379</v>
      </c>
      <c r="Q172" t="s">
        <v>379</v>
      </c>
      <c r="U172" t="s">
        <v>381</v>
      </c>
      <c r="X172">
        <v>12</v>
      </c>
      <c r="Y172" t="b">
        <v>1</v>
      </c>
      <c r="AA172" t="s">
        <v>4</v>
      </c>
      <c r="AC172">
        <v>1166</v>
      </c>
      <c r="AD172">
        <v>46219</v>
      </c>
      <c r="AE172">
        <v>46219</v>
      </c>
      <c r="AF172">
        <v>102</v>
      </c>
      <c r="AG172">
        <v>102</v>
      </c>
      <c r="AH172" t="s">
        <v>660</v>
      </c>
      <c r="AI172" t="b">
        <v>0</v>
      </c>
      <c r="AJ172" t="s">
        <v>723</v>
      </c>
      <c r="AK172" t="s">
        <v>384</v>
      </c>
      <c r="AL172" t="s">
        <v>385</v>
      </c>
      <c r="AM172" t="s">
        <v>385</v>
      </c>
      <c r="AN172" t="s">
        <v>384</v>
      </c>
      <c r="AO172" t="s">
        <v>384</v>
      </c>
      <c r="AP172" t="s">
        <v>384</v>
      </c>
      <c r="AQ172" t="s">
        <v>384</v>
      </c>
      <c r="AR172" t="s">
        <v>384</v>
      </c>
      <c r="AS172" t="s">
        <v>384</v>
      </c>
      <c r="AT172" t="s">
        <v>384</v>
      </c>
      <c r="AU172" t="s">
        <v>384</v>
      </c>
      <c r="AV172" t="s">
        <v>384</v>
      </c>
      <c r="AW172" t="s">
        <v>384</v>
      </c>
      <c r="AX172" t="s">
        <v>385</v>
      </c>
      <c r="AY172" t="s">
        <v>384</v>
      </c>
      <c r="AZ172" t="s">
        <v>384</v>
      </c>
      <c r="BA172" t="s">
        <v>385</v>
      </c>
      <c r="BB172" t="s">
        <v>384</v>
      </c>
      <c r="BC172" t="s">
        <v>384</v>
      </c>
      <c r="BD172" t="s">
        <v>384</v>
      </c>
      <c r="BH172" t="s">
        <v>662</v>
      </c>
      <c r="BI172" t="s">
        <v>724</v>
      </c>
    </row>
    <row r="173" spans="1:61" x14ac:dyDescent="0.2">
      <c r="A173">
        <v>0</v>
      </c>
      <c r="B173">
        <v>1165</v>
      </c>
      <c r="D173" t="s">
        <v>348</v>
      </c>
      <c r="E173" t="s">
        <v>725</v>
      </c>
      <c r="F173" t="s">
        <v>726</v>
      </c>
      <c r="G173" t="s">
        <v>696</v>
      </c>
      <c r="I173" t="s">
        <v>658</v>
      </c>
      <c r="J173" t="s">
        <v>697</v>
      </c>
      <c r="K173" s="21">
        <v>46234</v>
      </c>
      <c r="L173" s="21">
        <v>46234</v>
      </c>
      <c r="P173" t="s">
        <v>379</v>
      </c>
      <c r="Q173" t="s">
        <v>379</v>
      </c>
      <c r="U173" t="s">
        <v>381</v>
      </c>
      <c r="X173">
        <v>12</v>
      </c>
      <c r="Y173" t="b">
        <v>1</v>
      </c>
      <c r="AA173" t="s">
        <v>7</v>
      </c>
      <c r="AC173">
        <v>1165</v>
      </c>
      <c r="AD173">
        <v>46219</v>
      </c>
      <c r="AE173">
        <v>46219</v>
      </c>
      <c r="AF173">
        <v>102</v>
      </c>
      <c r="AG173">
        <v>102</v>
      </c>
      <c r="AH173" t="s">
        <v>660</v>
      </c>
      <c r="AI173" t="b">
        <v>0</v>
      </c>
      <c r="AJ173" t="s">
        <v>727</v>
      </c>
      <c r="AK173" t="s">
        <v>384</v>
      </c>
      <c r="AL173" t="s">
        <v>385</v>
      </c>
      <c r="AM173" t="s">
        <v>385</v>
      </c>
      <c r="AN173" t="s">
        <v>384</v>
      </c>
      <c r="AO173" t="s">
        <v>384</v>
      </c>
      <c r="AP173" t="s">
        <v>384</v>
      </c>
      <c r="AQ173" t="s">
        <v>384</v>
      </c>
      <c r="AR173" t="s">
        <v>384</v>
      </c>
      <c r="AS173" t="s">
        <v>384</v>
      </c>
      <c r="AT173" t="s">
        <v>384</v>
      </c>
      <c r="AU173" t="s">
        <v>384</v>
      </c>
      <c r="AV173" t="s">
        <v>384</v>
      </c>
      <c r="AW173" t="s">
        <v>384</v>
      </c>
      <c r="AX173" t="s">
        <v>385</v>
      </c>
      <c r="AY173" t="s">
        <v>384</v>
      </c>
      <c r="AZ173" t="s">
        <v>384</v>
      </c>
      <c r="BA173" t="s">
        <v>385</v>
      </c>
      <c r="BB173" t="s">
        <v>384</v>
      </c>
      <c r="BC173" t="s">
        <v>384</v>
      </c>
      <c r="BD173" t="s">
        <v>384</v>
      </c>
      <c r="BH173" t="s">
        <v>662</v>
      </c>
      <c r="BI173" t="s">
        <v>728</v>
      </c>
    </row>
    <row r="174" spans="1:61" x14ac:dyDescent="0.2">
      <c r="A174">
        <v>0</v>
      </c>
      <c r="B174">
        <v>883</v>
      </c>
      <c r="D174" t="s">
        <v>348</v>
      </c>
      <c r="E174" t="s">
        <v>729</v>
      </c>
      <c r="F174" t="s">
        <v>416</v>
      </c>
      <c r="G174" t="s">
        <v>378</v>
      </c>
      <c r="J174" t="s">
        <v>87</v>
      </c>
      <c r="K174" s="21">
        <v>46234</v>
      </c>
      <c r="L174" s="21">
        <v>46234</v>
      </c>
      <c r="P174" t="s">
        <v>379</v>
      </c>
      <c r="Q174" t="s">
        <v>379</v>
      </c>
      <c r="T174">
        <v>5670</v>
      </c>
      <c r="U174" t="s">
        <v>381</v>
      </c>
      <c r="Y174" t="b">
        <v>1</v>
      </c>
      <c r="Z174" t="s">
        <v>413</v>
      </c>
      <c r="AA174" t="s">
        <v>94</v>
      </c>
      <c r="AC174">
        <v>883</v>
      </c>
      <c r="AD174">
        <v>46225</v>
      </c>
      <c r="AE174">
        <v>46161</v>
      </c>
      <c r="AF174">
        <v>102</v>
      </c>
      <c r="AG174">
        <v>102</v>
      </c>
      <c r="AH174" t="s">
        <v>676</v>
      </c>
      <c r="AI174" t="b">
        <v>0</v>
      </c>
      <c r="AJ174" t="s">
        <v>730</v>
      </c>
      <c r="AK174" t="s">
        <v>384</v>
      </c>
      <c r="AL174" t="s">
        <v>385</v>
      </c>
      <c r="AM174" t="s">
        <v>385</v>
      </c>
      <c r="AN174" t="s">
        <v>384</v>
      </c>
      <c r="AO174" t="s">
        <v>384</v>
      </c>
      <c r="AP174" t="s">
        <v>384</v>
      </c>
      <c r="AQ174" t="s">
        <v>384</v>
      </c>
      <c r="AR174" t="s">
        <v>384</v>
      </c>
      <c r="AS174" t="s">
        <v>384</v>
      </c>
      <c r="AT174" t="s">
        <v>384</v>
      </c>
      <c r="AU174" t="s">
        <v>384</v>
      </c>
      <c r="AV174" t="s">
        <v>384</v>
      </c>
      <c r="AW174" t="s">
        <v>384</v>
      </c>
      <c r="AX174" t="s">
        <v>385</v>
      </c>
      <c r="AY174" t="s">
        <v>384</v>
      </c>
      <c r="AZ174" t="s">
        <v>384</v>
      </c>
      <c r="BA174" t="s">
        <v>385</v>
      </c>
      <c r="BB174" t="s">
        <v>384</v>
      </c>
      <c r="BC174" t="s">
        <v>384</v>
      </c>
      <c r="BD174" t="s">
        <v>384</v>
      </c>
      <c r="BI174" t="s">
        <v>729</v>
      </c>
    </row>
    <row r="175" spans="1:61" x14ac:dyDescent="0.2">
      <c r="A175">
        <v>0</v>
      </c>
      <c r="B175">
        <v>1111</v>
      </c>
      <c r="D175" t="s">
        <v>348</v>
      </c>
      <c r="E175" t="s">
        <v>401</v>
      </c>
      <c r="F175" t="s">
        <v>402</v>
      </c>
      <c r="G175" t="s">
        <v>378</v>
      </c>
      <c r="J175" t="s">
        <v>87</v>
      </c>
      <c r="K175" s="21">
        <v>46234</v>
      </c>
      <c r="L175" s="21">
        <v>46234</v>
      </c>
      <c r="P175" t="s">
        <v>379</v>
      </c>
      <c r="Q175" t="s">
        <v>379</v>
      </c>
      <c r="S175" t="s">
        <v>380</v>
      </c>
      <c r="T175">
        <v>7590</v>
      </c>
      <c r="U175" t="s">
        <v>381</v>
      </c>
      <c r="AA175" t="s">
        <v>5</v>
      </c>
      <c r="AC175">
        <v>1111</v>
      </c>
      <c r="AD175">
        <v>46221</v>
      </c>
      <c r="AE175">
        <v>46161</v>
      </c>
      <c r="AF175">
        <v>102</v>
      </c>
      <c r="AG175">
        <v>102</v>
      </c>
      <c r="AH175" t="s">
        <v>519</v>
      </c>
      <c r="AI175" t="b">
        <v>0</v>
      </c>
      <c r="AJ175" t="s">
        <v>731</v>
      </c>
      <c r="AK175" t="s">
        <v>384</v>
      </c>
      <c r="AL175" t="s">
        <v>385</v>
      </c>
      <c r="AM175" t="s">
        <v>385</v>
      </c>
      <c r="AN175" t="s">
        <v>384</v>
      </c>
      <c r="AO175" t="s">
        <v>384</v>
      </c>
      <c r="AP175" t="s">
        <v>384</v>
      </c>
      <c r="AQ175" t="s">
        <v>384</v>
      </c>
      <c r="AR175" t="s">
        <v>384</v>
      </c>
      <c r="AS175" t="s">
        <v>384</v>
      </c>
      <c r="AT175" t="s">
        <v>384</v>
      </c>
      <c r="AU175" t="s">
        <v>384</v>
      </c>
      <c r="AV175" t="s">
        <v>384</v>
      </c>
      <c r="AW175" t="s">
        <v>384</v>
      </c>
      <c r="AX175" t="s">
        <v>385</v>
      </c>
      <c r="AY175" t="s">
        <v>384</v>
      </c>
      <c r="AZ175" t="s">
        <v>384</v>
      </c>
      <c r="BA175" t="s">
        <v>385</v>
      </c>
      <c r="BB175" t="s">
        <v>384</v>
      </c>
      <c r="BC175" t="s">
        <v>384</v>
      </c>
      <c r="BD175" t="s">
        <v>384</v>
      </c>
      <c r="BI175" t="s">
        <v>401</v>
      </c>
    </row>
    <row r="176" spans="1:61" x14ac:dyDescent="0.2">
      <c r="A176">
        <v>0</v>
      </c>
      <c r="B176">
        <v>901</v>
      </c>
      <c r="D176" t="s">
        <v>348</v>
      </c>
      <c r="E176" t="s">
        <v>732</v>
      </c>
      <c r="F176" t="s">
        <v>733</v>
      </c>
      <c r="G176" t="s">
        <v>378</v>
      </c>
      <c r="J176" t="s">
        <v>87</v>
      </c>
      <c r="K176" s="21">
        <v>46234</v>
      </c>
      <c r="L176" s="21">
        <v>46234</v>
      </c>
      <c r="P176" t="s">
        <v>379</v>
      </c>
      <c r="Q176" t="s">
        <v>379</v>
      </c>
      <c r="T176">
        <v>5690</v>
      </c>
      <c r="U176" t="s">
        <v>381</v>
      </c>
      <c r="Y176" t="b">
        <v>1</v>
      </c>
      <c r="AA176" t="s">
        <v>94</v>
      </c>
      <c r="AC176">
        <v>901</v>
      </c>
      <c r="AD176">
        <v>46225</v>
      </c>
      <c r="AE176">
        <v>46161</v>
      </c>
      <c r="AF176">
        <v>102</v>
      </c>
      <c r="AG176">
        <v>102</v>
      </c>
      <c r="AH176" t="s">
        <v>414</v>
      </c>
      <c r="AI176" t="b">
        <v>0</v>
      </c>
      <c r="AJ176" t="s">
        <v>734</v>
      </c>
      <c r="AK176" t="s">
        <v>384</v>
      </c>
      <c r="AL176" t="s">
        <v>385</v>
      </c>
      <c r="AM176" t="s">
        <v>385</v>
      </c>
      <c r="AN176" t="s">
        <v>384</v>
      </c>
      <c r="AO176" t="s">
        <v>384</v>
      </c>
      <c r="AP176" t="s">
        <v>384</v>
      </c>
      <c r="AQ176" t="s">
        <v>384</v>
      </c>
      <c r="AR176" t="s">
        <v>384</v>
      </c>
      <c r="AS176" t="s">
        <v>384</v>
      </c>
      <c r="AT176" t="s">
        <v>384</v>
      </c>
      <c r="AU176" t="s">
        <v>384</v>
      </c>
      <c r="AV176" t="s">
        <v>384</v>
      </c>
      <c r="AW176" t="s">
        <v>384</v>
      </c>
      <c r="AX176" t="s">
        <v>385</v>
      </c>
      <c r="AY176" t="s">
        <v>384</v>
      </c>
      <c r="AZ176" t="s">
        <v>384</v>
      </c>
      <c r="BA176" t="s">
        <v>385</v>
      </c>
      <c r="BB176" t="s">
        <v>384</v>
      </c>
      <c r="BC176" t="s">
        <v>384</v>
      </c>
      <c r="BD176" t="s">
        <v>384</v>
      </c>
      <c r="BI176" t="s">
        <v>732</v>
      </c>
    </row>
    <row r="177" spans="1:61" x14ac:dyDescent="0.2">
      <c r="A177">
        <v>0</v>
      </c>
      <c r="B177">
        <v>1164</v>
      </c>
      <c r="D177" t="s">
        <v>348</v>
      </c>
      <c r="E177" t="s">
        <v>735</v>
      </c>
      <c r="F177" t="s">
        <v>736</v>
      </c>
      <c r="G177" t="s">
        <v>696</v>
      </c>
      <c r="I177" t="s">
        <v>658</v>
      </c>
      <c r="J177" t="s">
        <v>697</v>
      </c>
      <c r="K177" s="21">
        <v>46234</v>
      </c>
      <c r="L177" s="21">
        <v>46234</v>
      </c>
      <c r="P177" t="s">
        <v>379</v>
      </c>
      <c r="Q177" t="s">
        <v>379</v>
      </c>
      <c r="U177" t="s">
        <v>381</v>
      </c>
      <c r="X177">
        <v>12</v>
      </c>
      <c r="Y177" t="b">
        <v>1</v>
      </c>
      <c r="AA177" t="s">
        <v>7</v>
      </c>
      <c r="AC177">
        <v>1164</v>
      </c>
      <c r="AD177">
        <v>46219</v>
      </c>
      <c r="AE177">
        <v>46219</v>
      </c>
      <c r="AF177">
        <v>102</v>
      </c>
      <c r="AG177">
        <v>102</v>
      </c>
      <c r="AH177" t="s">
        <v>519</v>
      </c>
      <c r="AI177" t="b">
        <v>0</v>
      </c>
      <c r="AJ177" t="s">
        <v>737</v>
      </c>
      <c r="AK177" t="s">
        <v>384</v>
      </c>
      <c r="AL177" t="s">
        <v>385</v>
      </c>
      <c r="AM177" t="s">
        <v>385</v>
      </c>
      <c r="AN177" t="s">
        <v>384</v>
      </c>
      <c r="AO177" t="s">
        <v>384</v>
      </c>
      <c r="AP177" t="s">
        <v>384</v>
      </c>
      <c r="AQ177" t="s">
        <v>384</v>
      </c>
      <c r="AR177" t="s">
        <v>384</v>
      </c>
      <c r="AS177" t="s">
        <v>384</v>
      </c>
      <c r="AT177" t="s">
        <v>384</v>
      </c>
      <c r="AU177" t="s">
        <v>384</v>
      </c>
      <c r="AV177" t="s">
        <v>384</v>
      </c>
      <c r="AW177" t="s">
        <v>384</v>
      </c>
      <c r="AX177" t="s">
        <v>385</v>
      </c>
      <c r="AY177" t="s">
        <v>384</v>
      </c>
      <c r="AZ177" t="s">
        <v>384</v>
      </c>
      <c r="BA177" t="s">
        <v>385</v>
      </c>
      <c r="BB177" t="s">
        <v>384</v>
      </c>
      <c r="BC177" t="s">
        <v>384</v>
      </c>
      <c r="BD177" t="s">
        <v>384</v>
      </c>
      <c r="BH177" t="s">
        <v>662</v>
      </c>
      <c r="BI177" t="s">
        <v>738</v>
      </c>
    </row>
    <row r="178" spans="1:61" x14ac:dyDescent="0.2">
      <c r="A178">
        <v>0</v>
      </c>
      <c r="B178">
        <v>1112</v>
      </c>
      <c r="D178" t="s">
        <v>348</v>
      </c>
      <c r="E178" t="s">
        <v>427</v>
      </c>
      <c r="F178" t="s">
        <v>428</v>
      </c>
      <c r="G178" t="s">
        <v>378</v>
      </c>
      <c r="J178" t="s">
        <v>87</v>
      </c>
      <c r="K178" s="21">
        <v>46235</v>
      </c>
      <c r="L178" s="21">
        <v>46235</v>
      </c>
      <c r="P178" t="s">
        <v>379</v>
      </c>
      <c r="Q178" t="s">
        <v>379</v>
      </c>
      <c r="S178" t="s">
        <v>380</v>
      </c>
      <c r="T178">
        <v>7591</v>
      </c>
      <c r="U178" t="s">
        <v>381</v>
      </c>
      <c r="AA178" t="s">
        <v>5</v>
      </c>
      <c r="AC178">
        <v>1112</v>
      </c>
      <c r="AD178">
        <v>46221</v>
      </c>
      <c r="AE178">
        <v>46161</v>
      </c>
      <c r="AF178">
        <v>102</v>
      </c>
      <c r="AG178">
        <v>102</v>
      </c>
      <c r="AH178" t="s">
        <v>519</v>
      </c>
      <c r="AI178" t="b">
        <v>0</v>
      </c>
      <c r="AJ178" t="s">
        <v>739</v>
      </c>
      <c r="AK178" t="s">
        <v>384</v>
      </c>
      <c r="AL178" t="s">
        <v>385</v>
      </c>
      <c r="AM178" t="s">
        <v>385</v>
      </c>
      <c r="AN178" t="s">
        <v>384</v>
      </c>
      <c r="AO178" t="s">
        <v>384</v>
      </c>
      <c r="AP178" t="s">
        <v>384</v>
      </c>
      <c r="AQ178" t="s">
        <v>384</v>
      </c>
      <c r="AR178" t="s">
        <v>384</v>
      </c>
      <c r="AS178" t="s">
        <v>384</v>
      </c>
      <c r="AT178" t="s">
        <v>384</v>
      </c>
      <c r="AU178" t="s">
        <v>384</v>
      </c>
      <c r="AV178" t="s">
        <v>384</v>
      </c>
      <c r="AW178" t="s">
        <v>384</v>
      </c>
      <c r="AX178" t="s">
        <v>385</v>
      </c>
      <c r="AY178" t="s">
        <v>384</v>
      </c>
      <c r="AZ178" t="s">
        <v>384</v>
      </c>
      <c r="BA178" t="s">
        <v>385</v>
      </c>
      <c r="BB178" t="s">
        <v>384</v>
      </c>
      <c r="BC178" t="s">
        <v>384</v>
      </c>
      <c r="BD178" t="s">
        <v>384</v>
      </c>
      <c r="BI178" t="s">
        <v>427</v>
      </c>
    </row>
    <row r="179" spans="1:61" x14ac:dyDescent="0.2">
      <c r="A179">
        <v>0</v>
      </c>
      <c r="B179">
        <v>1162</v>
      </c>
      <c r="D179" t="s">
        <v>348</v>
      </c>
      <c r="E179" t="s">
        <v>740</v>
      </c>
      <c r="F179" t="s">
        <v>741</v>
      </c>
      <c r="G179" t="s">
        <v>696</v>
      </c>
      <c r="J179" t="s">
        <v>697</v>
      </c>
      <c r="K179" s="21">
        <v>46237</v>
      </c>
      <c r="L179" s="21">
        <v>46237</v>
      </c>
      <c r="P179" t="s">
        <v>379</v>
      </c>
      <c r="Q179" t="s">
        <v>379</v>
      </c>
      <c r="R179" t="s">
        <v>742</v>
      </c>
      <c r="U179" t="s">
        <v>381</v>
      </c>
      <c r="X179">
        <v>12</v>
      </c>
      <c r="Y179" t="b">
        <v>1</v>
      </c>
      <c r="AA179" t="s">
        <v>4</v>
      </c>
      <c r="AC179">
        <v>1162</v>
      </c>
      <c r="AD179">
        <v>46219</v>
      </c>
      <c r="AE179">
        <v>46219</v>
      </c>
      <c r="AF179">
        <v>102</v>
      </c>
      <c r="AG179">
        <v>102</v>
      </c>
      <c r="AH179" t="s">
        <v>382</v>
      </c>
      <c r="AI179" t="b">
        <v>0</v>
      </c>
      <c r="AJ179" t="s">
        <v>743</v>
      </c>
      <c r="AK179" t="s">
        <v>384</v>
      </c>
      <c r="AL179" t="s">
        <v>385</v>
      </c>
      <c r="AM179" t="s">
        <v>385</v>
      </c>
      <c r="AN179" t="s">
        <v>384</v>
      </c>
      <c r="AO179" t="s">
        <v>384</v>
      </c>
      <c r="AP179" t="s">
        <v>384</v>
      </c>
      <c r="AQ179" t="s">
        <v>384</v>
      </c>
      <c r="AR179" t="s">
        <v>384</v>
      </c>
      <c r="AS179" t="s">
        <v>384</v>
      </c>
      <c r="AT179" t="s">
        <v>384</v>
      </c>
      <c r="AU179" t="s">
        <v>384</v>
      </c>
      <c r="AV179" t="s">
        <v>384</v>
      </c>
      <c r="AW179" t="s">
        <v>384</v>
      </c>
      <c r="AX179" t="s">
        <v>385</v>
      </c>
      <c r="AY179" t="s">
        <v>384</v>
      </c>
      <c r="AZ179" t="s">
        <v>384</v>
      </c>
      <c r="BA179" t="s">
        <v>385</v>
      </c>
      <c r="BB179" t="s">
        <v>384</v>
      </c>
      <c r="BC179" t="s">
        <v>384</v>
      </c>
      <c r="BD179" t="s">
        <v>384</v>
      </c>
      <c r="BH179" t="s">
        <v>662</v>
      </c>
      <c r="BI179" t="s">
        <v>744</v>
      </c>
    </row>
    <row r="180" spans="1:61" x14ac:dyDescent="0.2">
      <c r="A180">
        <v>0</v>
      </c>
      <c r="B180">
        <v>1113</v>
      </c>
      <c r="D180" t="s">
        <v>348</v>
      </c>
      <c r="E180" t="s">
        <v>386</v>
      </c>
      <c r="F180" t="s">
        <v>579</v>
      </c>
      <c r="G180" t="s">
        <v>378</v>
      </c>
      <c r="J180" t="s">
        <v>87</v>
      </c>
      <c r="K180" s="21">
        <v>46238</v>
      </c>
      <c r="L180" s="21">
        <v>46238</v>
      </c>
      <c r="P180" t="s">
        <v>379</v>
      </c>
      <c r="Q180" t="s">
        <v>379</v>
      </c>
      <c r="S180" t="s">
        <v>380</v>
      </c>
      <c r="T180">
        <v>7592</v>
      </c>
      <c r="U180" t="s">
        <v>381</v>
      </c>
      <c r="AA180" t="s">
        <v>5</v>
      </c>
      <c r="AC180">
        <v>1113</v>
      </c>
      <c r="AD180">
        <v>46221</v>
      </c>
      <c r="AE180">
        <v>46161</v>
      </c>
      <c r="AF180">
        <v>102</v>
      </c>
      <c r="AG180">
        <v>102</v>
      </c>
      <c r="AH180" t="s">
        <v>519</v>
      </c>
      <c r="AI180" t="b">
        <v>0</v>
      </c>
      <c r="AJ180" t="s">
        <v>745</v>
      </c>
      <c r="AK180" t="s">
        <v>384</v>
      </c>
      <c r="AL180" t="s">
        <v>385</v>
      </c>
      <c r="AM180" t="s">
        <v>385</v>
      </c>
      <c r="AN180" t="s">
        <v>384</v>
      </c>
      <c r="AO180" t="s">
        <v>384</v>
      </c>
      <c r="AP180" t="s">
        <v>384</v>
      </c>
      <c r="AQ180" t="s">
        <v>384</v>
      </c>
      <c r="AR180" t="s">
        <v>384</v>
      </c>
      <c r="AS180" t="s">
        <v>384</v>
      </c>
      <c r="AT180" t="s">
        <v>384</v>
      </c>
      <c r="AU180" t="s">
        <v>384</v>
      </c>
      <c r="AV180" t="s">
        <v>384</v>
      </c>
      <c r="AW180" t="s">
        <v>384</v>
      </c>
      <c r="AX180" t="s">
        <v>385</v>
      </c>
      <c r="AY180" t="s">
        <v>384</v>
      </c>
      <c r="AZ180" t="s">
        <v>384</v>
      </c>
      <c r="BA180" t="s">
        <v>385</v>
      </c>
      <c r="BB180" t="s">
        <v>384</v>
      </c>
      <c r="BC180" t="s">
        <v>384</v>
      </c>
      <c r="BD180" t="s">
        <v>384</v>
      </c>
      <c r="BI180" t="s">
        <v>386</v>
      </c>
    </row>
    <row r="181" spans="1:61" x14ac:dyDescent="0.2">
      <c r="A181">
        <v>0</v>
      </c>
      <c r="B181">
        <v>925</v>
      </c>
      <c r="D181" t="s">
        <v>348</v>
      </c>
      <c r="E181" t="s">
        <v>746</v>
      </c>
      <c r="F181" t="s">
        <v>416</v>
      </c>
      <c r="G181" t="s">
        <v>378</v>
      </c>
      <c r="J181" t="s">
        <v>87</v>
      </c>
      <c r="K181" s="21">
        <v>46241</v>
      </c>
      <c r="L181" s="21">
        <v>46249</v>
      </c>
      <c r="P181" t="s">
        <v>379</v>
      </c>
      <c r="Q181" t="s">
        <v>379</v>
      </c>
      <c r="T181">
        <v>5715</v>
      </c>
      <c r="U181" t="s">
        <v>381</v>
      </c>
      <c r="Y181" t="b">
        <v>1</v>
      </c>
      <c r="AA181" t="s">
        <v>94</v>
      </c>
      <c r="AC181">
        <v>925</v>
      </c>
      <c r="AD181">
        <v>46225</v>
      </c>
      <c r="AE181">
        <v>46161</v>
      </c>
      <c r="AF181">
        <v>102</v>
      </c>
      <c r="AG181">
        <v>102</v>
      </c>
      <c r="AH181" t="s">
        <v>414</v>
      </c>
      <c r="AI181" t="b">
        <v>0</v>
      </c>
      <c r="AJ181" t="s">
        <v>747</v>
      </c>
      <c r="AK181" t="s">
        <v>384</v>
      </c>
      <c r="AL181" t="s">
        <v>385</v>
      </c>
      <c r="AM181" t="s">
        <v>385</v>
      </c>
      <c r="AN181" t="s">
        <v>384</v>
      </c>
      <c r="AO181" t="s">
        <v>384</v>
      </c>
      <c r="AP181" t="s">
        <v>384</v>
      </c>
      <c r="AQ181" t="s">
        <v>384</v>
      </c>
      <c r="AR181" t="s">
        <v>384</v>
      </c>
      <c r="AS181" t="s">
        <v>384</v>
      </c>
      <c r="AT181" t="s">
        <v>384</v>
      </c>
      <c r="AU181" t="s">
        <v>384</v>
      </c>
      <c r="AV181" t="s">
        <v>384</v>
      </c>
      <c r="AW181" t="s">
        <v>384</v>
      </c>
      <c r="AX181" t="s">
        <v>385</v>
      </c>
      <c r="AY181" t="s">
        <v>384</v>
      </c>
      <c r="AZ181" t="s">
        <v>384</v>
      </c>
      <c r="BA181" t="s">
        <v>385</v>
      </c>
      <c r="BB181" t="s">
        <v>384</v>
      </c>
      <c r="BC181" t="s">
        <v>384</v>
      </c>
      <c r="BD181" t="s">
        <v>384</v>
      </c>
      <c r="BI181" t="s">
        <v>746</v>
      </c>
    </row>
    <row r="182" spans="1:61" x14ac:dyDescent="0.2">
      <c r="A182">
        <v>0</v>
      </c>
      <c r="B182">
        <v>1023</v>
      </c>
      <c r="D182" t="s">
        <v>348</v>
      </c>
      <c r="E182" t="s">
        <v>646</v>
      </c>
      <c r="F182" t="s">
        <v>748</v>
      </c>
      <c r="G182" t="s">
        <v>378</v>
      </c>
      <c r="J182" t="s">
        <v>87</v>
      </c>
      <c r="K182" s="21">
        <v>46241</v>
      </c>
      <c r="L182" s="21">
        <v>46272</v>
      </c>
      <c r="P182" t="s">
        <v>379</v>
      </c>
      <c r="Q182" t="s">
        <v>379</v>
      </c>
      <c r="S182" t="s">
        <v>380</v>
      </c>
      <c r="T182">
        <v>7235</v>
      </c>
      <c r="U182" t="s">
        <v>381</v>
      </c>
      <c r="AA182" t="s">
        <v>5</v>
      </c>
      <c r="AC182">
        <v>1023</v>
      </c>
      <c r="AD182">
        <v>46221</v>
      </c>
      <c r="AE182">
        <v>46161</v>
      </c>
      <c r="AF182">
        <v>102</v>
      </c>
      <c r="AG182">
        <v>102</v>
      </c>
      <c r="AH182" t="s">
        <v>519</v>
      </c>
      <c r="AI182" t="b">
        <v>0</v>
      </c>
      <c r="AJ182" t="s">
        <v>749</v>
      </c>
      <c r="AK182" t="s">
        <v>384</v>
      </c>
      <c r="AL182" t="s">
        <v>385</v>
      </c>
      <c r="AM182" t="s">
        <v>385</v>
      </c>
      <c r="AN182" t="s">
        <v>384</v>
      </c>
      <c r="AO182" t="s">
        <v>384</v>
      </c>
      <c r="AP182" t="s">
        <v>384</v>
      </c>
      <c r="AQ182" t="s">
        <v>384</v>
      </c>
      <c r="AR182" t="s">
        <v>384</v>
      </c>
      <c r="AS182" t="s">
        <v>384</v>
      </c>
      <c r="AT182" t="s">
        <v>384</v>
      </c>
      <c r="AU182" t="s">
        <v>384</v>
      </c>
      <c r="AV182" t="s">
        <v>384</v>
      </c>
      <c r="AW182" t="s">
        <v>384</v>
      </c>
      <c r="AX182" t="s">
        <v>385</v>
      </c>
      <c r="AY182" t="s">
        <v>384</v>
      </c>
      <c r="AZ182" t="s">
        <v>384</v>
      </c>
      <c r="BA182" t="s">
        <v>385</v>
      </c>
      <c r="BB182" t="s">
        <v>384</v>
      </c>
      <c r="BC182" t="s">
        <v>384</v>
      </c>
      <c r="BD182" t="s">
        <v>384</v>
      </c>
      <c r="BI182" t="s">
        <v>646</v>
      </c>
    </row>
    <row r="183" spans="1:61" x14ac:dyDescent="0.2">
      <c r="A183">
        <v>0</v>
      </c>
      <c r="B183">
        <v>893</v>
      </c>
      <c r="D183" t="s">
        <v>348</v>
      </c>
      <c r="E183" t="s">
        <v>750</v>
      </c>
      <c r="F183" t="s">
        <v>416</v>
      </c>
      <c r="G183" t="s">
        <v>378</v>
      </c>
      <c r="J183" t="s">
        <v>87</v>
      </c>
      <c r="K183" s="21">
        <v>46241</v>
      </c>
      <c r="L183" s="21">
        <v>46242</v>
      </c>
      <c r="P183" t="s">
        <v>379</v>
      </c>
      <c r="Q183" t="s">
        <v>379</v>
      </c>
      <c r="T183">
        <v>5682</v>
      </c>
      <c r="U183" t="s">
        <v>381</v>
      </c>
      <c r="Y183" t="b">
        <v>1</v>
      </c>
      <c r="AA183" t="s">
        <v>94</v>
      </c>
      <c r="AC183">
        <v>893</v>
      </c>
      <c r="AD183">
        <v>46225</v>
      </c>
      <c r="AE183">
        <v>46161</v>
      </c>
      <c r="AF183">
        <v>102</v>
      </c>
      <c r="AG183">
        <v>102</v>
      </c>
      <c r="AH183" t="s">
        <v>414</v>
      </c>
      <c r="AI183" t="b">
        <v>0</v>
      </c>
      <c r="AJ183" t="s">
        <v>751</v>
      </c>
      <c r="AK183" t="s">
        <v>384</v>
      </c>
      <c r="AL183" t="s">
        <v>385</v>
      </c>
      <c r="AM183" t="s">
        <v>385</v>
      </c>
      <c r="AN183" t="s">
        <v>384</v>
      </c>
      <c r="AO183" t="s">
        <v>384</v>
      </c>
      <c r="AP183" t="s">
        <v>384</v>
      </c>
      <c r="AQ183" t="s">
        <v>384</v>
      </c>
      <c r="AR183" t="s">
        <v>384</v>
      </c>
      <c r="AS183" t="s">
        <v>384</v>
      </c>
      <c r="AT183" t="s">
        <v>384</v>
      </c>
      <c r="AU183" t="s">
        <v>384</v>
      </c>
      <c r="AV183" t="s">
        <v>384</v>
      </c>
      <c r="AW183" t="s">
        <v>384</v>
      </c>
      <c r="AX183" t="s">
        <v>385</v>
      </c>
      <c r="AY183" t="s">
        <v>384</v>
      </c>
      <c r="AZ183" t="s">
        <v>384</v>
      </c>
      <c r="BA183" t="s">
        <v>385</v>
      </c>
      <c r="BB183" t="s">
        <v>384</v>
      </c>
      <c r="BC183" t="s">
        <v>384</v>
      </c>
      <c r="BD183" t="s">
        <v>384</v>
      </c>
      <c r="BI183" t="s">
        <v>750</v>
      </c>
    </row>
    <row r="184" spans="1:61" x14ac:dyDescent="0.2">
      <c r="A184">
        <v>0</v>
      </c>
      <c r="B184">
        <v>1046</v>
      </c>
      <c r="D184" t="s">
        <v>348</v>
      </c>
      <c r="E184" t="s">
        <v>646</v>
      </c>
      <c r="F184" t="s">
        <v>748</v>
      </c>
      <c r="G184" t="s">
        <v>378</v>
      </c>
      <c r="J184" t="s">
        <v>87</v>
      </c>
      <c r="K184" s="21">
        <v>46241</v>
      </c>
      <c r="L184" s="21">
        <v>46272</v>
      </c>
      <c r="P184" t="s">
        <v>379</v>
      </c>
      <c r="Q184" t="s">
        <v>379</v>
      </c>
      <c r="S184" t="s">
        <v>380</v>
      </c>
      <c r="T184">
        <v>7383</v>
      </c>
      <c r="U184" t="s">
        <v>381</v>
      </c>
      <c r="AA184" t="s">
        <v>5</v>
      </c>
      <c r="AC184">
        <v>1046</v>
      </c>
      <c r="AD184">
        <v>46221</v>
      </c>
      <c r="AE184">
        <v>46161</v>
      </c>
      <c r="AF184">
        <v>102</v>
      </c>
      <c r="AG184">
        <v>102</v>
      </c>
      <c r="AH184" t="s">
        <v>519</v>
      </c>
      <c r="AI184" t="b">
        <v>0</v>
      </c>
      <c r="AJ184" t="s">
        <v>752</v>
      </c>
      <c r="AK184" t="s">
        <v>384</v>
      </c>
      <c r="AL184" t="s">
        <v>385</v>
      </c>
      <c r="AM184" t="s">
        <v>385</v>
      </c>
      <c r="AN184" t="s">
        <v>384</v>
      </c>
      <c r="AO184" t="s">
        <v>384</v>
      </c>
      <c r="AP184" t="s">
        <v>384</v>
      </c>
      <c r="AQ184" t="s">
        <v>384</v>
      </c>
      <c r="AR184" t="s">
        <v>384</v>
      </c>
      <c r="AS184" t="s">
        <v>384</v>
      </c>
      <c r="AT184" t="s">
        <v>384</v>
      </c>
      <c r="AU184" t="s">
        <v>384</v>
      </c>
      <c r="AV184" t="s">
        <v>384</v>
      </c>
      <c r="AW184" t="s">
        <v>384</v>
      </c>
      <c r="AX184" t="s">
        <v>385</v>
      </c>
      <c r="AY184" t="s">
        <v>384</v>
      </c>
      <c r="AZ184" t="s">
        <v>384</v>
      </c>
      <c r="BA184" t="s">
        <v>385</v>
      </c>
      <c r="BB184" t="s">
        <v>384</v>
      </c>
      <c r="BC184" t="s">
        <v>384</v>
      </c>
      <c r="BD184" t="s">
        <v>384</v>
      </c>
      <c r="BI184" t="s">
        <v>646</v>
      </c>
    </row>
    <row r="185" spans="1:61" x14ac:dyDescent="0.2">
      <c r="A185">
        <v>0</v>
      </c>
      <c r="B185">
        <v>1109</v>
      </c>
      <c r="D185" t="s">
        <v>348</v>
      </c>
      <c r="E185" t="s">
        <v>646</v>
      </c>
      <c r="F185" t="s">
        <v>748</v>
      </c>
      <c r="G185" t="s">
        <v>378</v>
      </c>
      <c r="J185" t="s">
        <v>87</v>
      </c>
      <c r="K185" s="21">
        <v>46241</v>
      </c>
      <c r="L185" s="21">
        <v>46242</v>
      </c>
      <c r="P185" t="s">
        <v>379</v>
      </c>
      <c r="Q185" t="s">
        <v>379</v>
      </c>
      <c r="S185" t="s">
        <v>380</v>
      </c>
      <c r="T185">
        <v>7588</v>
      </c>
      <c r="U185" t="s">
        <v>381</v>
      </c>
      <c r="AA185" t="s">
        <v>5</v>
      </c>
      <c r="AC185">
        <v>1109</v>
      </c>
      <c r="AD185">
        <v>46221</v>
      </c>
      <c r="AE185">
        <v>46161</v>
      </c>
      <c r="AF185">
        <v>102</v>
      </c>
      <c r="AG185">
        <v>102</v>
      </c>
      <c r="AH185" t="s">
        <v>519</v>
      </c>
      <c r="AI185" t="b">
        <v>0</v>
      </c>
      <c r="AJ185" t="s">
        <v>753</v>
      </c>
      <c r="AK185" t="s">
        <v>384</v>
      </c>
      <c r="AL185" t="s">
        <v>385</v>
      </c>
      <c r="AM185" t="s">
        <v>385</v>
      </c>
      <c r="AN185" t="s">
        <v>384</v>
      </c>
      <c r="AO185" t="s">
        <v>384</v>
      </c>
      <c r="AP185" t="s">
        <v>384</v>
      </c>
      <c r="AQ185" t="s">
        <v>384</v>
      </c>
      <c r="AR185" t="s">
        <v>384</v>
      </c>
      <c r="AS185" t="s">
        <v>384</v>
      </c>
      <c r="AT185" t="s">
        <v>384</v>
      </c>
      <c r="AU185" t="s">
        <v>384</v>
      </c>
      <c r="AV185" t="s">
        <v>384</v>
      </c>
      <c r="AW185" t="s">
        <v>384</v>
      </c>
      <c r="AX185" t="s">
        <v>385</v>
      </c>
      <c r="AY185" t="s">
        <v>384</v>
      </c>
      <c r="AZ185" t="s">
        <v>384</v>
      </c>
      <c r="BA185" t="s">
        <v>385</v>
      </c>
      <c r="BB185" t="s">
        <v>384</v>
      </c>
      <c r="BC185" t="s">
        <v>384</v>
      </c>
      <c r="BD185" t="s">
        <v>384</v>
      </c>
      <c r="BI185" t="s">
        <v>646</v>
      </c>
    </row>
    <row r="186" spans="1:61" x14ac:dyDescent="0.2">
      <c r="A186">
        <v>0</v>
      </c>
      <c r="B186">
        <v>1028</v>
      </c>
      <c r="D186" t="s">
        <v>348</v>
      </c>
      <c r="E186" t="s">
        <v>560</v>
      </c>
      <c r="F186" t="s">
        <v>754</v>
      </c>
      <c r="G186" t="s">
        <v>378</v>
      </c>
      <c r="J186" t="s">
        <v>87</v>
      </c>
      <c r="K186" s="21">
        <v>46243</v>
      </c>
      <c r="L186" s="21">
        <v>46243</v>
      </c>
      <c r="P186" t="s">
        <v>379</v>
      </c>
      <c r="Q186" t="s">
        <v>379</v>
      </c>
      <c r="T186">
        <v>7246</v>
      </c>
      <c r="U186" t="s">
        <v>381</v>
      </c>
      <c r="AA186" t="s">
        <v>5</v>
      </c>
      <c r="AC186">
        <v>1028</v>
      </c>
      <c r="AD186">
        <v>46221</v>
      </c>
      <c r="AE186">
        <v>46161</v>
      </c>
      <c r="AF186">
        <v>102</v>
      </c>
      <c r="AG186">
        <v>102</v>
      </c>
      <c r="AH186" t="s">
        <v>519</v>
      </c>
      <c r="AI186" t="b">
        <v>0</v>
      </c>
      <c r="AJ186" t="s">
        <v>755</v>
      </c>
      <c r="AK186" t="s">
        <v>384</v>
      </c>
      <c r="AL186" t="s">
        <v>385</v>
      </c>
      <c r="AM186" t="s">
        <v>385</v>
      </c>
      <c r="AN186" t="s">
        <v>384</v>
      </c>
      <c r="AO186" t="s">
        <v>384</v>
      </c>
      <c r="AP186" t="s">
        <v>384</v>
      </c>
      <c r="AQ186" t="s">
        <v>384</v>
      </c>
      <c r="AR186" t="s">
        <v>384</v>
      </c>
      <c r="AS186" t="s">
        <v>384</v>
      </c>
      <c r="AT186" t="s">
        <v>384</v>
      </c>
      <c r="AU186" t="s">
        <v>384</v>
      </c>
      <c r="AV186" t="s">
        <v>384</v>
      </c>
      <c r="AW186" t="s">
        <v>384</v>
      </c>
      <c r="AX186" t="s">
        <v>385</v>
      </c>
      <c r="AY186" t="s">
        <v>384</v>
      </c>
      <c r="AZ186" t="s">
        <v>384</v>
      </c>
      <c r="BA186" t="s">
        <v>385</v>
      </c>
      <c r="BB186" t="s">
        <v>384</v>
      </c>
      <c r="BC186" t="s">
        <v>384</v>
      </c>
      <c r="BD186" t="s">
        <v>384</v>
      </c>
      <c r="BI186" t="s">
        <v>560</v>
      </c>
    </row>
    <row r="187" spans="1:61" x14ac:dyDescent="0.2">
      <c r="A187">
        <v>0</v>
      </c>
      <c r="B187">
        <v>1051</v>
      </c>
      <c r="D187" t="s">
        <v>348</v>
      </c>
      <c r="E187" t="s">
        <v>560</v>
      </c>
      <c r="F187" t="s">
        <v>754</v>
      </c>
      <c r="G187" t="s">
        <v>378</v>
      </c>
      <c r="J187" t="s">
        <v>87</v>
      </c>
      <c r="K187" s="21">
        <v>46243</v>
      </c>
      <c r="L187" s="21">
        <v>46243</v>
      </c>
      <c r="P187" t="s">
        <v>379</v>
      </c>
      <c r="Q187" t="s">
        <v>379</v>
      </c>
      <c r="S187" t="s">
        <v>380</v>
      </c>
      <c r="T187">
        <v>7391</v>
      </c>
      <c r="U187" t="s">
        <v>381</v>
      </c>
      <c r="AA187" t="s">
        <v>5</v>
      </c>
      <c r="AC187">
        <v>1051</v>
      </c>
      <c r="AD187">
        <v>46221</v>
      </c>
      <c r="AE187">
        <v>46161</v>
      </c>
      <c r="AF187">
        <v>102</v>
      </c>
      <c r="AG187">
        <v>102</v>
      </c>
      <c r="AH187" t="s">
        <v>519</v>
      </c>
      <c r="AI187" t="b">
        <v>0</v>
      </c>
      <c r="AJ187" t="s">
        <v>756</v>
      </c>
      <c r="AK187" t="s">
        <v>384</v>
      </c>
      <c r="AL187" t="s">
        <v>385</v>
      </c>
      <c r="AM187" t="s">
        <v>385</v>
      </c>
      <c r="AN187" t="s">
        <v>384</v>
      </c>
      <c r="AO187" t="s">
        <v>384</v>
      </c>
      <c r="AP187" t="s">
        <v>384</v>
      </c>
      <c r="AQ187" t="s">
        <v>384</v>
      </c>
      <c r="AR187" t="s">
        <v>384</v>
      </c>
      <c r="AS187" t="s">
        <v>384</v>
      </c>
      <c r="AT187" t="s">
        <v>384</v>
      </c>
      <c r="AU187" t="s">
        <v>384</v>
      </c>
      <c r="AV187" t="s">
        <v>384</v>
      </c>
      <c r="AW187" t="s">
        <v>384</v>
      </c>
      <c r="AX187" t="s">
        <v>385</v>
      </c>
      <c r="AY187" t="s">
        <v>384</v>
      </c>
      <c r="AZ187" t="s">
        <v>384</v>
      </c>
      <c r="BA187" t="s">
        <v>385</v>
      </c>
      <c r="BB187" t="s">
        <v>384</v>
      </c>
      <c r="BC187" t="s">
        <v>384</v>
      </c>
      <c r="BD187" t="s">
        <v>384</v>
      </c>
      <c r="BI187" t="s">
        <v>560</v>
      </c>
    </row>
    <row r="188" spans="1:61" x14ac:dyDescent="0.2">
      <c r="A188">
        <v>0</v>
      </c>
      <c r="B188">
        <v>1058</v>
      </c>
      <c r="D188" t="s">
        <v>348</v>
      </c>
      <c r="E188" t="s">
        <v>757</v>
      </c>
      <c r="F188" t="s">
        <v>758</v>
      </c>
      <c r="G188" t="s">
        <v>378</v>
      </c>
      <c r="J188" t="s">
        <v>87</v>
      </c>
      <c r="K188" s="21">
        <v>46244</v>
      </c>
      <c r="L188" s="21">
        <v>46244</v>
      </c>
      <c r="P188" t="s">
        <v>379</v>
      </c>
      <c r="Q188" t="s">
        <v>379</v>
      </c>
      <c r="S188" t="s">
        <v>380</v>
      </c>
      <c r="T188">
        <v>7401</v>
      </c>
      <c r="U188" t="s">
        <v>381</v>
      </c>
      <c r="AA188" t="s">
        <v>5</v>
      </c>
      <c r="AC188">
        <v>1058</v>
      </c>
      <c r="AD188">
        <v>46221</v>
      </c>
      <c r="AE188">
        <v>46161</v>
      </c>
      <c r="AF188">
        <v>102</v>
      </c>
      <c r="AG188">
        <v>102</v>
      </c>
      <c r="AH188" t="s">
        <v>519</v>
      </c>
      <c r="AI188" t="b">
        <v>0</v>
      </c>
      <c r="AJ188" t="s">
        <v>759</v>
      </c>
      <c r="AK188" t="s">
        <v>384</v>
      </c>
      <c r="AL188" t="s">
        <v>385</v>
      </c>
      <c r="AM188" t="s">
        <v>385</v>
      </c>
      <c r="AN188" t="s">
        <v>384</v>
      </c>
      <c r="AO188" t="s">
        <v>384</v>
      </c>
      <c r="AP188" t="s">
        <v>384</v>
      </c>
      <c r="AQ188" t="s">
        <v>384</v>
      </c>
      <c r="AR188" t="s">
        <v>384</v>
      </c>
      <c r="AS188" t="s">
        <v>384</v>
      </c>
      <c r="AT188" t="s">
        <v>384</v>
      </c>
      <c r="AU188" t="s">
        <v>384</v>
      </c>
      <c r="AV188" t="s">
        <v>384</v>
      </c>
      <c r="AW188" t="s">
        <v>384</v>
      </c>
      <c r="AX188" t="s">
        <v>385</v>
      </c>
      <c r="AY188" t="s">
        <v>384</v>
      </c>
      <c r="AZ188" t="s">
        <v>384</v>
      </c>
      <c r="BA188" t="s">
        <v>385</v>
      </c>
      <c r="BB188" t="s">
        <v>384</v>
      </c>
      <c r="BC188" t="s">
        <v>384</v>
      </c>
      <c r="BD188" t="s">
        <v>384</v>
      </c>
      <c r="BI188" t="s">
        <v>757</v>
      </c>
    </row>
    <row r="189" spans="1:61" x14ac:dyDescent="0.2">
      <c r="A189">
        <v>0</v>
      </c>
      <c r="B189">
        <v>1035</v>
      </c>
      <c r="D189" t="s">
        <v>348</v>
      </c>
      <c r="E189" t="s">
        <v>757</v>
      </c>
      <c r="F189" t="s">
        <v>758</v>
      </c>
      <c r="G189" t="s">
        <v>378</v>
      </c>
      <c r="J189" t="s">
        <v>87</v>
      </c>
      <c r="K189" s="21">
        <v>46244</v>
      </c>
      <c r="L189" s="21">
        <v>46244</v>
      </c>
      <c r="P189" t="s">
        <v>379</v>
      </c>
      <c r="Q189" t="s">
        <v>379</v>
      </c>
      <c r="T189">
        <v>7258</v>
      </c>
      <c r="U189" t="s">
        <v>381</v>
      </c>
      <c r="AA189" t="s">
        <v>5</v>
      </c>
      <c r="AC189">
        <v>1035</v>
      </c>
      <c r="AD189">
        <v>46221</v>
      </c>
      <c r="AE189">
        <v>46161</v>
      </c>
      <c r="AF189">
        <v>102</v>
      </c>
      <c r="AG189">
        <v>102</v>
      </c>
      <c r="AH189" t="s">
        <v>519</v>
      </c>
      <c r="AI189" t="b">
        <v>0</v>
      </c>
      <c r="AJ189" t="s">
        <v>760</v>
      </c>
      <c r="AK189" t="s">
        <v>384</v>
      </c>
      <c r="AL189" t="s">
        <v>385</v>
      </c>
      <c r="AM189" t="s">
        <v>385</v>
      </c>
      <c r="AN189" t="s">
        <v>384</v>
      </c>
      <c r="AO189" t="s">
        <v>384</v>
      </c>
      <c r="AP189" t="s">
        <v>384</v>
      </c>
      <c r="AQ189" t="s">
        <v>384</v>
      </c>
      <c r="AR189" t="s">
        <v>384</v>
      </c>
      <c r="AS189" t="s">
        <v>384</v>
      </c>
      <c r="AT189" t="s">
        <v>384</v>
      </c>
      <c r="AU189" t="s">
        <v>384</v>
      </c>
      <c r="AV189" t="s">
        <v>384</v>
      </c>
      <c r="AW189" t="s">
        <v>384</v>
      </c>
      <c r="AX189" t="s">
        <v>385</v>
      </c>
      <c r="AY189" t="s">
        <v>384</v>
      </c>
      <c r="AZ189" t="s">
        <v>384</v>
      </c>
      <c r="BA189" t="s">
        <v>385</v>
      </c>
      <c r="BB189" t="s">
        <v>384</v>
      </c>
      <c r="BC189" t="s">
        <v>384</v>
      </c>
      <c r="BD189" t="s">
        <v>384</v>
      </c>
      <c r="BI189" t="s">
        <v>757</v>
      </c>
    </row>
    <row r="190" spans="1:61" x14ac:dyDescent="0.2">
      <c r="A190">
        <v>0</v>
      </c>
      <c r="B190">
        <v>926</v>
      </c>
      <c r="D190" t="s">
        <v>348</v>
      </c>
      <c r="E190" t="s">
        <v>761</v>
      </c>
      <c r="F190" t="s">
        <v>416</v>
      </c>
      <c r="G190" t="s">
        <v>378</v>
      </c>
      <c r="J190" t="s">
        <v>87</v>
      </c>
      <c r="K190" s="21">
        <v>46245</v>
      </c>
      <c r="L190" s="21">
        <v>46245</v>
      </c>
      <c r="P190" t="s">
        <v>379</v>
      </c>
      <c r="Q190" t="s">
        <v>379</v>
      </c>
      <c r="T190">
        <v>5716</v>
      </c>
      <c r="U190" t="s">
        <v>381</v>
      </c>
      <c r="Y190" t="b">
        <v>1</v>
      </c>
      <c r="AA190" t="s">
        <v>94</v>
      </c>
      <c r="AC190">
        <v>926</v>
      </c>
      <c r="AD190">
        <v>46225</v>
      </c>
      <c r="AE190">
        <v>46161</v>
      </c>
      <c r="AF190">
        <v>102</v>
      </c>
      <c r="AG190">
        <v>102</v>
      </c>
      <c r="AH190" t="s">
        <v>414</v>
      </c>
      <c r="AI190" t="b">
        <v>0</v>
      </c>
      <c r="AJ190" t="s">
        <v>762</v>
      </c>
      <c r="AK190" t="s">
        <v>384</v>
      </c>
      <c r="AL190" t="s">
        <v>385</v>
      </c>
      <c r="AM190" t="s">
        <v>385</v>
      </c>
      <c r="AN190" t="s">
        <v>384</v>
      </c>
      <c r="AO190" t="s">
        <v>384</v>
      </c>
      <c r="AP190" t="s">
        <v>384</v>
      </c>
      <c r="AQ190" t="s">
        <v>384</v>
      </c>
      <c r="AR190" t="s">
        <v>384</v>
      </c>
      <c r="AS190" t="s">
        <v>384</v>
      </c>
      <c r="AT190" t="s">
        <v>384</v>
      </c>
      <c r="AU190" t="s">
        <v>384</v>
      </c>
      <c r="AV190" t="s">
        <v>384</v>
      </c>
      <c r="AW190" t="s">
        <v>384</v>
      </c>
      <c r="AX190" t="s">
        <v>385</v>
      </c>
      <c r="AY190" t="s">
        <v>384</v>
      </c>
      <c r="AZ190" t="s">
        <v>384</v>
      </c>
      <c r="BA190" t="s">
        <v>385</v>
      </c>
      <c r="BB190" t="s">
        <v>384</v>
      </c>
      <c r="BC190" t="s">
        <v>384</v>
      </c>
      <c r="BD190" t="s">
        <v>384</v>
      </c>
      <c r="BI190" t="s">
        <v>761</v>
      </c>
    </row>
    <row r="191" spans="1:61" x14ac:dyDescent="0.2">
      <c r="A191">
        <v>0</v>
      </c>
      <c r="B191">
        <v>1167</v>
      </c>
      <c r="D191" t="s">
        <v>348</v>
      </c>
      <c r="E191" t="s">
        <v>763</v>
      </c>
      <c r="F191" t="s">
        <v>764</v>
      </c>
      <c r="G191" t="s">
        <v>696</v>
      </c>
      <c r="I191" t="s">
        <v>658</v>
      </c>
      <c r="J191" t="s">
        <v>697</v>
      </c>
      <c r="K191" s="21">
        <v>46246</v>
      </c>
      <c r="L191" s="21">
        <v>46246</v>
      </c>
      <c r="P191" t="s">
        <v>379</v>
      </c>
      <c r="Q191" t="s">
        <v>379</v>
      </c>
      <c r="U191" t="s">
        <v>381</v>
      </c>
      <c r="X191">
        <v>12</v>
      </c>
      <c r="Y191" t="b">
        <v>1</v>
      </c>
      <c r="AA191" t="s">
        <v>4</v>
      </c>
      <c r="AC191">
        <v>1167</v>
      </c>
      <c r="AD191">
        <v>46219</v>
      </c>
      <c r="AE191">
        <v>46219</v>
      </c>
      <c r="AF191">
        <v>102</v>
      </c>
      <c r="AG191">
        <v>102</v>
      </c>
      <c r="AH191" t="s">
        <v>660</v>
      </c>
      <c r="AI191" t="b">
        <v>0</v>
      </c>
      <c r="AJ191" t="s">
        <v>765</v>
      </c>
      <c r="AK191" t="s">
        <v>384</v>
      </c>
      <c r="AL191" t="s">
        <v>385</v>
      </c>
      <c r="AM191" t="s">
        <v>385</v>
      </c>
      <c r="AN191" t="s">
        <v>384</v>
      </c>
      <c r="AO191" t="s">
        <v>384</v>
      </c>
      <c r="AP191" t="s">
        <v>384</v>
      </c>
      <c r="AQ191" t="s">
        <v>384</v>
      </c>
      <c r="AR191" t="s">
        <v>384</v>
      </c>
      <c r="AS191" t="s">
        <v>384</v>
      </c>
      <c r="AT191" t="s">
        <v>384</v>
      </c>
      <c r="AU191" t="s">
        <v>384</v>
      </c>
      <c r="AV191" t="s">
        <v>384</v>
      </c>
      <c r="AW191" t="s">
        <v>384</v>
      </c>
      <c r="AX191" t="s">
        <v>385</v>
      </c>
      <c r="AY191" t="s">
        <v>384</v>
      </c>
      <c r="AZ191" t="s">
        <v>384</v>
      </c>
      <c r="BA191" t="s">
        <v>385</v>
      </c>
      <c r="BB191" t="s">
        <v>384</v>
      </c>
      <c r="BC191" t="s">
        <v>384</v>
      </c>
      <c r="BD191" t="s">
        <v>384</v>
      </c>
      <c r="BH191" t="s">
        <v>662</v>
      </c>
      <c r="BI191" t="s">
        <v>766</v>
      </c>
    </row>
    <row r="192" spans="1:61" x14ac:dyDescent="0.2">
      <c r="A192">
        <v>0</v>
      </c>
      <c r="B192">
        <v>1114</v>
      </c>
      <c r="D192" t="s">
        <v>348</v>
      </c>
      <c r="E192" t="s">
        <v>767</v>
      </c>
      <c r="F192" t="s">
        <v>768</v>
      </c>
      <c r="G192" t="s">
        <v>378</v>
      </c>
      <c r="J192" t="s">
        <v>87</v>
      </c>
      <c r="K192" s="21">
        <v>46248</v>
      </c>
      <c r="L192" s="21">
        <v>46249</v>
      </c>
      <c r="P192" t="s">
        <v>379</v>
      </c>
      <c r="Q192" t="s">
        <v>379</v>
      </c>
      <c r="S192" t="s">
        <v>380</v>
      </c>
      <c r="T192">
        <v>7593</v>
      </c>
      <c r="U192" t="s">
        <v>381</v>
      </c>
      <c r="AA192" t="s">
        <v>5</v>
      </c>
      <c r="AC192">
        <v>1114</v>
      </c>
      <c r="AD192">
        <v>46221</v>
      </c>
      <c r="AE192">
        <v>46161</v>
      </c>
      <c r="AF192">
        <v>102</v>
      </c>
      <c r="AG192">
        <v>102</v>
      </c>
      <c r="AH192" t="s">
        <v>519</v>
      </c>
      <c r="AI192" t="b">
        <v>0</v>
      </c>
      <c r="AJ192" t="s">
        <v>769</v>
      </c>
      <c r="AK192" t="s">
        <v>384</v>
      </c>
      <c r="AL192" t="s">
        <v>385</v>
      </c>
      <c r="AM192" t="s">
        <v>385</v>
      </c>
      <c r="AN192" t="s">
        <v>384</v>
      </c>
      <c r="AO192" t="s">
        <v>384</v>
      </c>
      <c r="AP192" t="s">
        <v>384</v>
      </c>
      <c r="AQ192" t="s">
        <v>384</v>
      </c>
      <c r="AR192" t="s">
        <v>384</v>
      </c>
      <c r="AS192" t="s">
        <v>384</v>
      </c>
      <c r="AT192" t="s">
        <v>384</v>
      </c>
      <c r="AU192" t="s">
        <v>384</v>
      </c>
      <c r="AV192" t="s">
        <v>384</v>
      </c>
      <c r="AW192" t="s">
        <v>384</v>
      </c>
      <c r="AX192" t="s">
        <v>385</v>
      </c>
      <c r="AY192" t="s">
        <v>384</v>
      </c>
      <c r="AZ192" t="s">
        <v>384</v>
      </c>
      <c r="BA192" t="s">
        <v>385</v>
      </c>
      <c r="BB192" t="s">
        <v>384</v>
      </c>
      <c r="BC192" t="s">
        <v>384</v>
      </c>
      <c r="BD192" t="s">
        <v>384</v>
      </c>
      <c r="BI192" t="s">
        <v>767</v>
      </c>
    </row>
    <row r="193" spans="1:61" x14ac:dyDescent="0.2">
      <c r="A193">
        <v>0</v>
      </c>
      <c r="B193">
        <v>998</v>
      </c>
      <c r="D193" t="s">
        <v>348</v>
      </c>
      <c r="E193" t="s">
        <v>405</v>
      </c>
      <c r="F193" t="s">
        <v>406</v>
      </c>
      <c r="G193" t="s">
        <v>378</v>
      </c>
      <c r="J193" t="s">
        <v>87</v>
      </c>
      <c r="K193" s="21">
        <v>46249</v>
      </c>
      <c r="L193" s="21">
        <v>46249</v>
      </c>
      <c r="P193" t="s">
        <v>379</v>
      </c>
      <c r="Q193" t="s">
        <v>379</v>
      </c>
      <c r="T193">
        <v>5788</v>
      </c>
      <c r="U193" t="s">
        <v>381</v>
      </c>
      <c r="Y193" t="b">
        <v>1</v>
      </c>
      <c r="AA193" t="s">
        <v>94</v>
      </c>
      <c r="AC193">
        <v>998</v>
      </c>
      <c r="AD193">
        <v>46225</v>
      </c>
      <c r="AE193">
        <v>46161</v>
      </c>
      <c r="AF193">
        <v>102</v>
      </c>
      <c r="AG193">
        <v>102</v>
      </c>
      <c r="AH193" t="s">
        <v>414</v>
      </c>
      <c r="AI193" t="b">
        <v>0</v>
      </c>
      <c r="AJ193" t="s">
        <v>770</v>
      </c>
      <c r="AK193" t="s">
        <v>384</v>
      </c>
      <c r="AL193" t="s">
        <v>385</v>
      </c>
      <c r="AM193" t="s">
        <v>385</v>
      </c>
      <c r="AN193" t="s">
        <v>384</v>
      </c>
      <c r="AO193" t="s">
        <v>384</v>
      </c>
      <c r="AP193" t="s">
        <v>384</v>
      </c>
      <c r="AQ193" t="s">
        <v>384</v>
      </c>
      <c r="AR193" t="s">
        <v>384</v>
      </c>
      <c r="AS193" t="s">
        <v>384</v>
      </c>
      <c r="AT193" t="s">
        <v>384</v>
      </c>
      <c r="AU193" t="s">
        <v>384</v>
      </c>
      <c r="AV193" t="s">
        <v>384</v>
      </c>
      <c r="AW193" t="s">
        <v>384</v>
      </c>
      <c r="AX193" t="s">
        <v>385</v>
      </c>
      <c r="AY193" t="s">
        <v>384</v>
      </c>
      <c r="AZ193" t="s">
        <v>384</v>
      </c>
      <c r="BA193" t="s">
        <v>385</v>
      </c>
      <c r="BB193" t="s">
        <v>384</v>
      </c>
      <c r="BC193" t="s">
        <v>384</v>
      </c>
      <c r="BD193" t="s">
        <v>384</v>
      </c>
      <c r="BI193" t="s">
        <v>405</v>
      </c>
    </row>
    <row r="194" spans="1:61" x14ac:dyDescent="0.2">
      <c r="A194">
        <v>0</v>
      </c>
      <c r="B194">
        <v>977</v>
      </c>
      <c r="D194" t="s">
        <v>348</v>
      </c>
      <c r="E194" t="s">
        <v>440</v>
      </c>
      <c r="F194" t="s">
        <v>406</v>
      </c>
      <c r="G194" t="s">
        <v>378</v>
      </c>
      <c r="J194" t="s">
        <v>87</v>
      </c>
      <c r="K194" s="21">
        <v>46250</v>
      </c>
      <c r="L194" s="21">
        <v>46250</v>
      </c>
      <c r="P194" t="s">
        <v>379</v>
      </c>
      <c r="Q194" t="s">
        <v>379</v>
      </c>
      <c r="T194">
        <v>5767</v>
      </c>
      <c r="U194" t="s">
        <v>381</v>
      </c>
      <c r="Y194" t="b">
        <v>1</v>
      </c>
      <c r="Z194" t="s">
        <v>413</v>
      </c>
      <c r="AA194" t="s">
        <v>94</v>
      </c>
      <c r="AC194">
        <v>977</v>
      </c>
      <c r="AD194">
        <v>46225</v>
      </c>
      <c r="AE194">
        <v>46161</v>
      </c>
      <c r="AF194">
        <v>102</v>
      </c>
      <c r="AG194">
        <v>102</v>
      </c>
      <c r="AH194" t="s">
        <v>676</v>
      </c>
      <c r="AI194" t="b">
        <v>0</v>
      </c>
      <c r="AJ194" t="s">
        <v>771</v>
      </c>
      <c r="AK194" t="s">
        <v>384</v>
      </c>
      <c r="AL194" t="s">
        <v>385</v>
      </c>
      <c r="AM194" t="s">
        <v>385</v>
      </c>
      <c r="AN194" t="s">
        <v>384</v>
      </c>
      <c r="AO194" t="s">
        <v>384</v>
      </c>
      <c r="AP194" t="s">
        <v>384</v>
      </c>
      <c r="AQ194" t="s">
        <v>384</v>
      </c>
      <c r="AR194" t="s">
        <v>384</v>
      </c>
      <c r="AS194" t="s">
        <v>384</v>
      </c>
      <c r="AT194" t="s">
        <v>384</v>
      </c>
      <c r="AU194" t="s">
        <v>384</v>
      </c>
      <c r="AV194" t="s">
        <v>384</v>
      </c>
      <c r="AW194" t="s">
        <v>384</v>
      </c>
      <c r="AX194" t="s">
        <v>385</v>
      </c>
      <c r="AY194" t="s">
        <v>384</v>
      </c>
      <c r="AZ194" t="s">
        <v>384</v>
      </c>
      <c r="BA194" t="s">
        <v>385</v>
      </c>
      <c r="BB194" t="s">
        <v>384</v>
      </c>
      <c r="BC194" t="s">
        <v>384</v>
      </c>
      <c r="BD194" t="s">
        <v>384</v>
      </c>
      <c r="BI194" t="s">
        <v>440</v>
      </c>
    </row>
    <row r="195" spans="1:61" x14ac:dyDescent="0.2">
      <c r="A195">
        <v>0</v>
      </c>
      <c r="B195">
        <v>957</v>
      </c>
      <c r="D195" t="s">
        <v>348</v>
      </c>
      <c r="E195" t="s">
        <v>409</v>
      </c>
      <c r="F195" t="s">
        <v>410</v>
      </c>
      <c r="G195" t="s">
        <v>378</v>
      </c>
      <c r="J195" t="s">
        <v>87</v>
      </c>
      <c r="K195" s="21">
        <v>46250</v>
      </c>
      <c r="L195" s="21">
        <v>46250</v>
      </c>
      <c r="P195" t="s">
        <v>379</v>
      </c>
      <c r="Q195" t="s">
        <v>379</v>
      </c>
      <c r="T195">
        <v>5747</v>
      </c>
      <c r="U195" t="s">
        <v>381</v>
      </c>
      <c r="AA195" t="s">
        <v>5</v>
      </c>
      <c r="AC195">
        <v>957</v>
      </c>
      <c r="AD195">
        <v>46221</v>
      </c>
      <c r="AE195">
        <v>46161</v>
      </c>
      <c r="AF195">
        <v>102</v>
      </c>
      <c r="AG195">
        <v>102</v>
      </c>
      <c r="AH195" t="s">
        <v>519</v>
      </c>
      <c r="AI195" t="b">
        <v>0</v>
      </c>
      <c r="AJ195" t="s">
        <v>772</v>
      </c>
      <c r="AK195" t="s">
        <v>384</v>
      </c>
      <c r="AL195" t="s">
        <v>385</v>
      </c>
      <c r="AM195" t="s">
        <v>385</v>
      </c>
      <c r="AN195" t="s">
        <v>384</v>
      </c>
      <c r="AO195" t="s">
        <v>384</v>
      </c>
      <c r="AP195" t="s">
        <v>384</v>
      </c>
      <c r="AQ195" t="s">
        <v>384</v>
      </c>
      <c r="AR195" t="s">
        <v>384</v>
      </c>
      <c r="AS195" t="s">
        <v>384</v>
      </c>
      <c r="AT195" t="s">
        <v>384</v>
      </c>
      <c r="AU195" t="s">
        <v>384</v>
      </c>
      <c r="AV195" t="s">
        <v>384</v>
      </c>
      <c r="AW195" t="s">
        <v>384</v>
      </c>
      <c r="AX195" t="s">
        <v>385</v>
      </c>
      <c r="AY195" t="s">
        <v>384</v>
      </c>
      <c r="AZ195" t="s">
        <v>384</v>
      </c>
      <c r="BA195" t="s">
        <v>385</v>
      </c>
      <c r="BB195" t="s">
        <v>384</v>
      </c>
      <c r="BC195" t="s">
        <v>384</v>
      </c>
      <c r="BD195" t="s">
        <v>384</v>
      </c>
      <c r="BI195" t="s">
        <v>409</v>
      </c>
    </row>
    <row r="196" spans="1:61" x14ac:dyDescent="0.2">
      <c r="A196">
        <v>0</v>
      </c>
      <c r="B196">
        <v>967</v>
      </c>
      <c r="D196" t="s">
        <v>348</v>
      </c>
      <c r="E196" t="s">
        <v>412</v>
      </c>
      <c r="F196" t="s">
        <v>406</v>
      </c>
      <c r="G196" t="s">
        <v>378</v>
      </c>
      <c r="J196" t="s">
        <v>87</v>
      </c>
      <c r="K196" s="21">
        <v>46252</v>
      </c>
      <c r="L196" s="21">
        <v>46252</v>
      </c>
      <c r="P196" t="s">
        <v>379</v>
      </c>
      <c r="Q196" t="s">
        <v>379</v>
      </c>
      <c r="S196" t="s">
        <v>129</v>
      </c>
      <c r="T196">
        <v>5757</v>
      </c>
      <c r="U196" t="s">
        <v>381</v>
      </c>
      <c r="Y196" t="b">
        <v>1</v>
      </c>
      <c r="Z196" t="s">
        <v>413</v>
      </c>
      <c r="AA196" t="s">
        <v>94</v>
      </c>
      <c r="AC196">
        <v>967</v>
      </c>
      <c r="AD196">
        <v>46225</v>
      </c>
      <c r="AE196">
        <v>46161</v>
      </c>
      <c r="AF196">
        <v>102</v>
      </c>
      <c r="AG196">
        <v>102</v>
      </c>
      <c r="AH196" t="s">
        <v>676</v>
      </c>
      <c r="AI196" t="b">
        <v>0</v>
      </c>
      <c r="AJ196" t="s">
        <v>773</v>
      </c>
      <c r="AK196" t="s">
        <v>384</v>
      </c>
      <c r="AL196" t="s">
        <v>385</v>
      </c>
      <c r="AM196" t="s">
        <v>385</v>
      </c>
      <c r="AN196" t="s">
        <v>384</v>
      </c>
      <c r="AO196" t="s">
        <v>384</v>
      </c>
      <c r="AP196" t="s">
        <v>384</v>
      </c>
      <c r="AQ196" t="s">
        <v>384</v>
      </c>
      <c r="AR196" t="s">
        <v>384</v>
      </c>
      <c r="AS196" t="s">
        <v>384</v>
      </c>
      <c r="AT196" t="s">
        <v>384</v>
      </c>
      <c r="AU196" t="s">
        <v>384</v>
      </c>
      <c r="AV196" t="s">
        <v>384</v>
      </c>
      <c r="AW196" t="s">
        <v>384</v>
      </c>
      <c r="AX196" t="s">
        <v>385</v>
      </c>
      <c r="AY196" t="s">
        <v>384</v>
      </c>
      <c r="AZ196" t="s">
        <v>384</v>
      </c>
      <c r="BA196" t="s">
        <v>385</v>
      </c>
      <c r="BB196" t="s">
        <v>384</v>
      </c>
      <c r="BC196" t="s">
        <v>384</v>
      </c>
      <c r="BD196" t="s">
        <v>384</v>
      </c>
      <c r="BI196" t="s">
        <v>412</v>
      </c>
    </row>
    <row r="197" spans="1:61" x14ac:dyDescent="0.2">
      <c r="A197">
        <v>0</v>
      </c>
      <c r="B197">
        <v>986</v>
      </c>
      <c r="D197" t="s">
        <v>348</v>
      </c>
      <c r="E197" t="s">
        <v>442</v>
      </c>
      <c r="F197" t="s">
        <v>406</v>
      </c>
      <c r="G197" t="s">
        <v>378</v>
      </c>
      <c r="J197" t="s">
        <v>87</v>
      </c>
      <c r="K197" s="21">
        <v>46252</v>
      </c>
      <c r="L197" s="21">
        <v>46252</v>
      </c>
      <c r="P197" t="s">
        <v>379</v>
      </c>
      <c r="Q197" t="s">
        <v>379</v>
      </c>
      <c r="T197">
        <v>5776</v>
      </c>
      <c r="U197" t="s">
        <v>381</v>
      </c>
      <c r="Y197" t="b">
        <v>1</v>
      </c>
      <c r="AA197" t="s">
        <v>94</v>
      </c>
      <c r="AC197">
        <v>986</v>
      </c>
      <c r="AD197">
        <v>46225</v>
      </c>
      <c r="AE197">
        <v>46161</v>
      </c>
      <c r="AF197">
        <v>102</v>
      </c>
      <c r="AG197">
        <v>102</v>
      </c>
      <c r="AH197" t="s">
        <v>414</v>
      </c>
      <c r="AI197" t="b">
        <v>0</v>
      </c>
      <c r="AJ197" t="s">
        <v>774</v>
      </c>
      <c r="AK197" t="s">
        <v>384</v>
      </c>
      <c r="AL197" t="s">
        <v>385</v>
      </c>
      <c r="AM197" t="s">
        <v>385</v>
      </c>
      <c r="AN197" t="s">
        <v>384</v>
      </c>
      <c r="AO197" t="s">
        <v>384</v>
      </c>
      <c r="AP197" t="s">
        <v>384</v>
      </c>
      <c r="AQ197" t="s">
        <v>384</v>
      </c>
      <c r="AR197" t="s">
        <v>384</v>
      </c>
      <c r="AS197" t="s">
        <v>384</v>
      </c>
      <c r="AT197" t="s">
        <v>384</v>
      </c>
      <c r="AU197" t="s">
        <v>384</v>
      </c>
      <c r="AV197" t="s">
        <v>384</v>
      </c>
      <c r="AW197" t="s">
        <v>384</v>
      </c>
      <c r="AX197" t="s">
        <v>385</v>
      </c>
      <c r="AY197" t="s">
        <v>384</v>
      </c>
      <c r="AZ197" t="s">
        <v>384</v>
      </c>
      <c r="BA197" t="s">
        <v>385</v>
      </c>
      <c r="BB197" t="s">
        <v>384</v>
      </c>
      <c r="BC197" t="s">
        <v>384</v>
      </c>
      <c r="BD197" t="s">
        <v>384</v>
      </c>
      <c r="BI197" t="s">
        <v>442</v>
      </c>
    </row>
    <row r="198" spans="1:61" x14ac:dyDescent="0.2">
      <c r="A198">
        <v>0</v>
      </c>
      <c r="B198">
        <v>1168</v>
      </c>
      <c r="D198" t="s">
        <v>348</v>
      </c>
      <c r="E198" t="s">
        <v>775</v>
      </c>
      <c r="G198" t="s">
        <v>696</v>
      </c>
      <c r="I198" t="s">
        <v>658</v>
      </c>
      <c r="J198" t="s">
        <v>697</v>
      </c>
      <c r="K198" s="21">
        <v>46253</v>
      </c>
      <c r="L198" s="21">
        <v>46253</v>
      </c>
      <c r="P198" t="s">
        <v>379</v>
      </c>
      <c r="Q198" t="s">
        <v>379</v>
      </c>
      <c r="U198" t="s">
        <v>381</v>
      </c>
      <c r="X198">
        <v>12</v>
      </c>
      <c r="Y198" t="b">
        <v>1</v>
      </c>
      <c r="AA198" t="s">
        <v>4</v>
      </c>
      <c r="AC198">
        <v>1168</v>
      </c>
      <c r="AD198">
        <v>46220</v>
      </c>
      <c r="AE198">
        <v>46219</v>
      </c>
      <c r="AF198">
        <v>102</v>
      </c>
      <c r="AG198">
        <v>102</v>
      </c>
      <c r="AH198" t="s">
        <v>519</v>
      </c>
      <c r="AI198" t="b">
        <v>0</v>
      </c>
      <c r="AJ198" t="s">
        <v>776</v>
      </c>
      <c r="AK198" t="s">
        <v>384</v>
      </c>
      <c r="AL198" t="s">
        <v>385</v>
      </c>
      <c r="AM198" t="s">
        <v>385</v>
      </c>
      <c r="AN198" t="s">
        <v>384</v>
      </c>
      <c r="AO198" t="s">
        <v>384</v>
      </c>
      <c r="AP198" t="s">
        <v>384</v>
      </c>
      <c r="AQ198" t="s">
        <v>384</v>
      </c>
      <c r="AR198" t="s">
        <v>384</v>
      </c>
      <c r="AS198" t="s">
        <v>384</v>
      </c>
      <c r="AT198" t="s">
        <v>384</v>
      </c>
      <c r="AU198" t="s">
        <v>384</v>
      </c>
      <c r="AV198" t="s">
        <v>384</v>
      </c>
      <c r="AW198" t="s">
        <v>384</v>
      </c>
      <c r="AX198" t="s">
        <v>385</v>
      </c>
      <c r="AY198" t="s">
        <v>384</v>
      </c>
      <c r="AZ198" t="s">
        <v>384</v>
      </c>
      <c r="BA198" t="s">
        <v>385</v>
      </c>
      <c r="BB198" t="s">
        <v>384</v>
      </c>
      <c r="BC198" t="s">
        <v>384</v>
      </c>
      <c r="BD198" t="s">
        <v>384</v>
      </c>
      <c r="BH198" t="s">
        <v>662</v>
      </c>
      <c r="BI198" t="s">
        <v>777</v>
      </c>
    </row>
    <row r="199" spans="1:61" x14ac:dyDescent="0.2">
      <c r="A199">
        <v>0</v>
      </c>
      <c r="B199">
        <v>1144</v>
      </c>
      <c r="D199" t="s">
        <v>348</v>
      </c>
      <c r="E199" t="s">
        <v>465</v>
      </c>
      <c r="F199" t="s">
        <v>778</v>
      </c>
      <c r="G199" t="s">
        <v>378</v>
      </c>
      <c r="J199" t="s">
        <v>87</v>
      </c>
      <c r="K199" s="21">
        <v>46253</v>
      </c>
      <c r="L199" s="21">
        <v>46253</v>
      </c>
      <c r="P199" t="s">
        <v>379</v>
      </c>
      <c r="Q199" t="s">
        <v>379</v>
      </c>
      <c r="T199">
        <v>7722</v>
      </c>
      <c r="U199" t="s">
        <v>381</v>
      </c>
      <c r="AA199" t="s">
        <v>5</v>
      </c>
      <c r="AC199">
        <v>1144</v>
      </c>
      <c r="AD199">
        <v>46221</v>
      </c>
      <c r="AE199">
        <v>46161</v>
      </c>
      <c r="AF199">
        <v>102</v>
      </c>
      <c r="AG199">
        <v>102</v>
      </c>
      <c r="AH199" t="s">
        <v>519</v>
      </c>
      <c r="AI199" t="b">
        <v>0</v>
      </c>
      <c r="AJ199" t="s">
        <v>779</v>
      </c>
      <c r="AK199" t="s">
        <v>384</v>
      </c>
      <c r="AL199" t="s">
        <v>385</v>
      </c>
      <c r="AM199" t="s">
        <v>385</v>
      </c>
      <c r="AN199" t="s">
        <v>384</v>
      </c>
      <c r="AO199" t="s">
        <v>384</v>
      </c>
      <c r="AP199" t="s">
        <v>384</v>
      </c>
      <c r="AQ199" t="s">
        <v>384</v>
      </c>
      <c r="AR199" t="s">
        <v>384</v>
      </c>
      <c r="AS199" t="s">
        <v>384</v>
      </c>
      <c r="AT199" t="s">
        <v>384</v>
      </c>
      <c r="AU199" t="s">
        <v>384</v>
      </c>
      <c r="AV199" t="s">
        <v>384</v>
      </c>
      <c r="AW199" t="s">
        <v>384</v>
      </c>
      <c r="AX199" t="s">
        <v>385</v>
      </c>
      <c r="AY199" t="s">
        <v>384</v>
      </c>
      <c r="AZ199" t="s">
        <v>384</v>
      </c>
      <c r="BA199" t="s">
        <v>385</v>
      </c>
      <c r="BB199" t="s">
        <v>384</v>
      </c>
      <c r="BC199" t="s">
        <v>384</v>
      </c>
      <c r="BD199" t="s">
        <v>384</v>
      </c>
      <c r="BI199" t="s">
        <v>465</v>
      </c>
    </row>
    <row r="200" spans="1:61" x14ac:dyDescent="0.2">
      <c r="A200">
        <v>0</v>
      </c>
      <c r="B200">
        <v>1117</v>
      </c>
      <c r="D200" t="s">
        <v>348</v>
      </c>
      <c r="E200" t="s">
        <v>465</v>
      </c>
      <c r="F200" t="s">
        <v>778</v>
      </c>
      <c r="G200" t="s">
        <v>378</v>
      </c>
      <c r="J200" t="s">
        <v>87</v>
      </c>
      <c r="K200" s="21">
        <v>46253</v>
      </c>
      <c r="L200" s="21">
        <v>46253</v>
      </c>
      <c r="P200" t="s">
        <v>379</v>
      </c>
      <c r="Q200" t="s">
        <v>379</v>
      </c>
      <c r="S200" t="s">
        <v>380</v>
      </c>
      <c r="T200">
        <v>7596</v>
      </c>
      <c r="U200" t="s">
        <v>381</v>
      </c>
      <c r="AA200" t="s">
        <v>5</v>
      </c>
      <c r="AC200">
        <v>1117</v>
      </c>
      <c r="AD200">
        <v>46221</v>
      </c>
      <c r="AE200">
        <v>46161</v>
      </c>
      <c r="AF200">
        <v>102</v>
      </c>
      <c r="AG200">
        <v>102</v>
      </c>
      <c r="AH200" t="s">
        <v>519</v>
      </c>
      <c r="AI200" t="b">
        <v>0</v>
      </c>
      <c r="AJ200" t="s">
        <v>780</v>
      </c>
      <c r="AK200" t="s">
        <v>384</v>
      </c>
      <c r="AL200" t="s">
        <v>385</v>
      </c>
      <c r="AM200" t="s">
        <v>385</v>
      </c>
      <c r="AN200" t="s">
        <v>384</v>
      </c>
      <c r="AO200" t="s">
        <v>384</v>
      </c>
      <c r="AP200" t="s">
        <v>384</v>
      </c>
      <c r="AQ200" t="s">
        <v>384</v>
      </c>
      <c r="AR200" t="s">
        <v>384</v>
      </c>
      <c r="AS200" t="s">
        <v>384</v>
      </c>
      <c r="AT200" t="s">
        <v>384</v>
      </c>
      <c r="AU200" t="s">
        <v>384</v>
      </c>
      <c r="AV200" t="s">
        <v>384</v>
      </c>
      <c r="AW200" t="s">
        <v>384</v>
      </c>
      <c r="AX200" t="s">
        <v>385</v>
      </c>
      <c r="AY200" t="s">
        <v>384</v>
      </c>
      <c r="AZ200" t="s">
        <v>384</v>
      </c>
      <c r="BA200" t="s">
        <v>385</v>
      </c>
      <c r="BB200" t="s">
        <v>384</v>
      </c>
      <c r="BC200" t="s">
        <v>384</v>
      </c>
      <c r="BD200" t="s">
        <v>384</v>
      </c>
      <c r="BI200" t="s">
        <v>465</v>
      </c>
    </row>
    <row r="201" spans="1:61" x14ac:dyDescent="0.2">
      <c r="A201">
        <v>0</v>
      </c>
      <c r="B201">
        <v>934</v>
      </c>
      <c r="D201" t="s">
        <v>348</v>
      </c>
      <c r="E201" t="s">
        <v>445</v>
      </c>
      <c r="F201" t="s">
        <v>406</v>
      </c>
      <c r="G201" t="s">
        <v>378</v>
      </c>
      <c r="J201" t="s">
        <v>87</v>
      </c>
      <c r="K201" s="21">
        <v>46253</v>
      </c>
      <c r="L201" s="21">
        <v>46253</v>
      </c>
      <c r="P201" t="s">
        <v>379</v>
      </c>
      <c r="Q201" t="s">
        <v>379</v>
      </c>
      <c r="S201" t="s">
        <v>132</v>
      </c>
      <c r="T201">
        <v>5724</v>
      </c>
      <c r="U201" t="s">
        <v>381</v>
      </c>
      <c r="Y201" t="b">
        <v>1</v>
      </c>
      <c r="AA201" t="s">
        <v>94</v>
      </c>
      <c r="AC201">
        <v>934</v>
      </c>
      <c r="AD201">
        <v>46225</v>
      </c>
      <c r="AE201">
        <v>46161</v>
      </c>
      <c r="AF201">
        <v>102</v>
      </c>
      <c r="AG201">
        <v>102</v>
      </c>
      <c r="AH201" t="s">
        <v>414</v>
      </c>
      <c r="AI201" t="b">
        <v>0</v>
      </c>
      <c r="AJ201" t="s">
        <v>781</v>
      </c>
      <c r="AK201" t="s">
        <v>384</v>
      </c>
      <c r="AL201" t="s">
        <v>385</v>
      </c>
      <c r="AM201" t="s">
        <v>385</v>
      </c>
      <c r="AN201" t="s">
        <v>384</v>
      </c>
      <c r="AO201" t="s">
        <v>384</v>
      </c>
      <c r="AP201" t="s">
        <v>384</v>
      </c>
      <c r="AQ201" t="s">
        <v>384</v>
      </c>
      <c r="AR201" t="s">
        <v>384</v>
      </c>
      <c r="AS201" t="s">
        <v>384</v>
      </c>
      <c r="AT201" t="s">
        <v>384</v>
      </c>
      <c r="AU201" t="s">
        <v>384</v>
      </c>
      <c r="AV201" t="s">
        <v>384</v>
      </c>
      <c r="AW201" t="s">
        <v>384</v>
      </c>
      <c r="AX201" t="s">
        <v>385</v>
      </c>
      <c r="AY201" t="s">
        <v>384</v>
      </c>
      <c r="AZ201" t="s">
        <v>384</v>
      </c>
      <c r="BA201" t="s">
        <v>385</v>
      </c>
      <c r="BB201" t="s">
        <v>384</v>
      </c>
      <c r="BC201" t="s">
        <v>384</v>
      </c>
      <c r="BD201" t="s">
        <v>384</v>
      </c>
      <c r="BI201" t="s">
        <v>445</v>
      </c>
    </row>
    <row r="202" spans="1:61" x14ac:dyDescent="0.2">
      <c r="A202">
        <v>0</v>
      </c>
      <c r="B202">
        <v>904</v>
      </c>
      <c r="D202" t="s">
        <v>348</v>
      </c>
      <c r="E202" t="s">
        <v>101</v>
      </c>
      <c r="F202" t="s">
        <v>416</v>
      </c>
      <c r="G202" t="s">
        <v>378</v>
      </c>
      <c r="J202" t="s">
        <v>87</v>
      </c>
      <c r="K202" s="21">
        <v>46254</v>
      </c>
      <c r="L202" s="21">
        <v>46256</v>
      </c>
      <c r="P202" t="s">
        <v>379</v>
      </c>
      <c r="Q202" t="s">
        <v>379</v>
      </c>
      <c r="S202" t="s">
        <v>132</v>
      </c>
      <c r="T202">
        <v>5693</v>
      </c>
      <c r="U202" t="s">
        <v>381</v>
      </c>
      <c r="Y202" t="b">
        <v>1</v>
      </c>
      <c r="AA202" t="s">
        <v>94</v>
      </c>
      <c r="AC202">
        <v>904</v>
      </c>
      <c r="AD202">
        <v>46225</v>
      </c>
      <c r="AE202">
        <v>46161</v>
      </c>
      <c r="AF202">
        <v>102</v>
      </c>
      <c r="AG202">
        <v>102</v>
      </c>
      <c r="AH202" t="s">
        <v>414</v>
      </c>
      <c r="AI202" t="b">
        <v>0</v>
      </c>
      <c r="AJ202" t="s">
        <v>782</v>
      </c>
      <c r="AK202" t="s">
        <v>384</v>
      </c>
      <c r="AL202" t="s">
        <v>385</v>
      </c>
      <c r="AM202" t="s">
        <v>385</v>
      </c>
      <c r="AN202" t="s">
        <v>384</v>
      </c>
      <c r="AO202" t="s">
        <v>384</v>
      </c>
      <c r="AP202" t="s">
        <v>384</v>
      </c>
      <c r="AQ202" t="s">
        <v>384</v>
      </c>
      <c r="AR202" t="s">
        <v>384</v>
      </c>
      <c r="AS202" t="s">
        <v>384</v>
      </c>
      <c r="AT202" t="s">
        <v>384</v>
      </c>
      <c r="AU202" t="s">
        <v>384</v>
      </c>
      <c r="AV202" t="s">
        <v>384</v>
      </c>
      <c r="AW202" t="s">
        <v>384</v>
      </c>
      <c r="AX202" t="s">
        <v>385</v>
      </c>
      <c r="AY202" t="s">
        <v>384</v>
      </c>
      <c r="AZ202" t="s">
        <v>384</v>
      </c>
      <c r="BA202" t="s">
        <v>385</v>
      </c>
      <c r="BB202" t="s">
        <v>384</v>
      </c>
      <c r="BC202" t="s">
        <v>384</v>
      </c>
      <c r="BD202" t="s">
        <v>384</v>
      </c>
      <c r="BI202" t="s">
        <v>101</v>
      </c>
    </row>
    <row r="203" spans="1:61" x14ac:dyDescent="0.2">
      <c r="A203">
        <v>0</v>
      </c>
      <c r="B203">
        <v>1115</v>
      </c>
      <c r="D203" t="s">
        <v>348</v>
      </c>
      <c r="E203" t="s">
        <v>783</v>
      </c>
      <c r="F203" t="s">
        <v>784</v>
      </c>
      <c r="G203" t="s">
        <v>378</v>
      </c>
      <c r="J203" t="s">
        <v>87</v>
      </c>
      <c r="K203" s="21">
        <v>46254</v>
      </c>
      <c r="L203" s="21">
        <v>46256</v>
      </c>
      <c r="P203" t="s">
        <v>379</v>
      </c>
      <c r="Q203" t="s">
        <v>379</v>
      </c>
      <c r="S203" t="s">
        <v>380</v>
      </c>
      <c r="T203">
        <v>7594</v>
      </c>
      <c r="U203" t="s">
        <v>381</v>
      </c>
      <c r="AA203" t="s">
        <v>5</v>
      </c>
      <c r="AC203">
        <v>1115</v>
      </c>
      <c r="AD203">
        <v>46221</v>
      </c>
      <c r="AE203">
        <v>46161</v>
      </c>
      <c r="AF203">
        <v>102</v>
      </c>
      <c r="AG203">
        <v>102</v>
      </c>
      <c r="AH203" t="s">
        <v>519</v>
      </c>
      <c r="AI203" t="b">
        <v>0</v>
      </c>
      <c r="AJ203" t="s">
        <v>785</v>
      </c>
      <c r="AK203" t="s">
        <v>384</v>
      </c>
      <c r="AL203" t="s">
        <v>385</v>
      </c>
      <c r="AM203" t="s">
        <v>385</v>
      </c>
      <c r="AN203" t="s">
        <v>384</v>
      </c>
      <c r="AO203" t="s">
        <v>384</v>
      </c>
      <c r="AP203" t="s">
        <v>384</v>
      </c>
      <c r="AQ203" t="s">
        <v>384</v>
      </c>
      <c r="AR203" t="s">
        <v>384</v>
      </c>
      <c r="AS203" t="s">
        <v>384</v>
      </c>
      <c r="AT203" t="s">
        <v>384</v>
      </c>
      <c r="AU203" t="s">
        <v>384</v>
      </c>
      <c r="AV203" t="s">
        <v>384</v>
      </c>
      <c r="AW203" t="s">
        <v>384</v>
      </c>
      <c r="AX203" t="s">
        <v>385</v>
      </c>
      <c r="AY203" t="s">
        <v>384</v>
      </c>
      <c r="AZ203" t="s">
        <v>384</v>
      </c>
      <c r="BA203" t="s">
        <v>385</v>
      </c>
      <c r="BB203" t="s">
        <v>384</v>
      </c>
      <c r="BC203" t="s">
        <v>384</v>
      </c>
      <c r="BD203" t="s">
        <v>384</v>
      </c>
      <c r="BI203" t="s">
        <v>783</v>
      </c>
    </row>
    <row r="204" spans="1:61" x14ac:dyDescent="0.2">
      <c r="A204">
        <v>0</v>
      </c>
      <c r="B204">
        <v>1116</v>
      </c>
      <c r="D204" t="s">
        <v>348</v>
      </c>
      <c r="E204" t="s">
        <v>786</v>
      </c>
      <c r="F204" t="s">
        <v>787</v>
      </c>
      <c r="G204" t="s">
        <v>378</v>
      </c>
      <c r="J204" t="s">
        <v>87</v>
      </c>
      <c r="K204" s="21">
        <v>46254</v>
      </c>
      <c r="L204" s="21">
        <v>46256</v>
      </c>
      <c r="P204" t="s">
        <v>379</v>
      </c>
      <c r="Q204" t="s">
        <v>379</v>
      </c>
      <c r="S204" t="s">
        <v>380</v>
      </c>
      <c r="T204">
        <v>7595</v>
      </c>
      <c r="U204" t="s">
        <v>381</v>
      </c>
      <c r="AA204" t="s">
        <v>5</v>
      </c>
      <c r="AC204">
        <v>1116</v>
      </c>
      <c r="AD204">
        <v>46221</v>
      </c>
      <c r="AE204">
        <v>46161</v>
      </c>
      <c r="AF204">
        <v>102</v>
      </c>
      <c r="AG204">
        <v>102</v>
      </c>
      <c r="AH204" t="s">
        <v>519</v>
      </c>
      <c r="AI204" t="b">
        <v>0</v>
      </c>
      <c r="AJ204" t="s">
        <v>788</v>
      </c>
      <c r="AK204" t="s">
        <v>384</v>
      </c>
      <c r="AL204" t="s">
        <v>385</v>
      </c>
      <c r="AM204" t="s">
        <v>385</v>
      </c>
      <c r="AN204" t="s">
        <v>384</v>
      </c>
      <c r="AO204" t="s">
        <v>384</v>
      </c>
      <c r="AP204" t="s">
        <v>384</v>
      </c>
      <c r="AQ204" t="s">
        <v>384</v>
      </c>
      <c r="AR204" t="s">
        <v>384</v>
      </c>
      <c r="AS204" t="s">
        <v>384</v>
      </c>
      <c r="AT204" t="s">
        <v>384</v>
      </c>
      <c r="AU204" t="s">
        <v>384</v>
      </c>
      <c r="AV204" t="s">
        <v>384</v>
      </c>
      <c r="AW204" t="s">
        <v>384</v>
      </c>
      <c r="AX204" t="s">
        <v>385</v>
      </c>
      <c r="AY204" t="s">
        <v>384</v>
      </c>
      <c r="AZ204" t="s">
        <v>384</v>
      </c>
      <c r="BA204" t="s">
        <v>385</v>
      </c>
      <c r="BB204" t="s">
        <v>384</v>
      </c>
      <c r="BC204" t="s">
        <v>384</v>
      </c>
      <c r="BD204" t="s">
        <v>384</v>
      </c>
      <c r="BI204" t="s">
        <v>786</v>
      </c>
    </row>
    <row r="205" spans="1:61" x14ac:dyDescent="0.2">
      <c r="A205">
        <v>0</v>
      </c>
      <c r="B205">
        <v>945</v>
      </c>
      <c r="D205" t="s">
        <v>348</v>
      </c>
      <c r="E205" t="s">
        <v>418</v>
      </c>
      <c r="F205" t="s">
        <v>419</v>
      </c>
      <c r="G205" t="s">
        <v>378</v>
      </c>
      <c r="J205" t="s">
        <v>87</v>
      </c>
      <c r="K205" s="21">
        <v>46258</v>
      </c>
      <c r="L205" s="21">
        <v>46258</v>
      </c>
      <c r="P205" t="s">
        <v>379</v>
      </c>
      <c r="Q205" t="s">
        <v>379</v>
      </c>
      <c r="T205">
        <v>5735</v>
      </c>
      <c r="U205" t="s">
        <v>381</v>
      </c>
      <c r="AA205" t="s">
        <v>5</v>
      </c>
      <c r="AC205">
        <v>945</v>
      </c>
      <c r="AD205">
        <v>46221</v>
      </c>
      <c r="AE205">
        <v>46161</v>
      </c>
      <c r="AF205">
        <v>102</v>
      </c>
      <c r="AG205">
        <v>102</v>
      </c>
      <c r="AH205" t="s">
        <v>519</v>
      </c>
      <c r="AI205" t="b">
        <v>0</v>
      </c>
      <c r="AJ205" t="s">
        <v>789</v>
      </c>
      <c r="AK205" t="s">
        <v>384</v>
      </c>
      <c r="AL205" t="s">
        <v>385</v>
      </c>
      <c r="AM205" t="s">
        <v>385</v>
      </c>
      <c r="AN205" t="s">
        <v>384</v>
      </c>
      <c r="AO205" t="s">
        <v>384</v>
      </c>
      <c r="AP205" t="s">
        <v>384</v>
      </c>
      <c r="AQ205" t="s">
        <v>384</v>
      </c>
      <c r="AR205" t="s">
        <v>384</v>
      </c>
      <c r="AS205" t="s">
        <v>384</v>
      </c>
      <c r="AT205" t="s">
        <v>384</v>
      </c>
      <c r="AU205" t="s">
        <v>384</v>
      </c>
      <c r="AV205" t="s">
        <v>384</v>
      </c>
      <c r="AW205" t="s">
        <v>384</v>
      </c>
      <c r="AX205" t="s">
        <v>385</v>
      </c>
      <c r="AY205" t="s">
        <v>384</v>
      </c>
      <c r="AZ205" t="s">
        <v>384</v>
      </c>
      <c r="BA205" t="s">
        <v>385</v>
      </c>
      <c r="BB205" t="s">
        <v>384</v>
      </c>
      <c r="BC205" t="s">
        <v>384</v>
      </c>
      <c r="BD205" t="s">
        <v>384</v>
      </c>
      <c r="BI205" t="s">
        <v>418</v>
      </c>
    </row>
    <row r="206" spans="1:61" x14ac:dyDescent="0.2">
      <c r="A206">
        <v>0</v>
      </c>
      <c r="B206">
        <v>1169</v>
      </c>
      <c r="D206" t="s">
        <v>348</v>
      </c>
      <c r="E206" t="s">
        <v>790</v>
      </c>
      <c r="F206" t="s">
        <v>791</v>
      </c>
      <c r="G206" t="s">
        <v>696</v>
      </c>
      <c r="I206" t="s">
        <v>658</v>
      </c>
      <c r="J206" t="s">
        <v>697</v>
      </c>
      <c r="K206" s="21">
        <v>46261</v>
      </c>
      <c r="L206" s="21">
        <v>46263</v>
      </c>
      <c r="P206" t="s">
        <v>379</v>
      </c>
      <c r="Q206" t="s">
        <v>379</v>
      </c>
      <c r="U206" t="s">
        <v>381</v>
      </c>
      <c r="X206">
        <v>12</v>
      </c>
      <c r="Y206" t="b">
        <v>1</v>
      </c>
      <c r="AA206" t="s">
        <v>4</v>
      </c>
      <c r="AC206">
        <v>1169</v>
      </c>
      <c r="AD206">
        <v>46219</v>
      </c>
      <c r="AE206">
        <v>46219</v>
      </c>
      <c r="AF206">
        <v>102</v>
      </c>
      <c r="AG206">
        <v>102</v>
      </c>
      <c r="AH206" t="s">
        <v>660</v>
      </c>
      <c r="AI206" t="b">
        <v>0</v>
      </c>
      <c r="AJ206" t="s">
        <v>792</v>
      </c>
      <c r="AK206" t="s">
        <v>384</v>
      </c>
      <c r="AL206" t="s">
        <v>385</v>
      </c>
      <c r="AM206" t="s">
        <v>385</v>
      </c>
      <c r="AN206" t="s">
        <v>384</v>
      </c>
      <c r="AO206" t="s">
        <v>384</v>
      </c>
      <c r="AP206" t="s">
        <v>384</v>
      </c>
      <c r="AQ206" t="s">
        <v>384</v>
      </c>
      <c r="AR206" t="s">
        <v>384</v>
      </c>
      <c r="AS206" t="s">
        <v>384</v>
      </c>
      <c r="AT206" t="s">
        <v>384</v>
      </c>
      <c r="AU206" t="s">
        <v>384</v>
      </c>
      <c r="AV206" t="s">
        <v>384</v>
      </c>
      <c r="AW206" t="s">
        <v>384</v>
      </c>
      <c r="AX206" t="s">
        <v>385</v>
      </c>
      <c r="AY206" t="s">
        <v>384</v>
      </c>
      <c r="AZ206" t="s">
        <v>384</v>
      </c>
      <c r="BA206" t="s">
        <v>385</v>
      </c>
      <c r="BB206" t="s">
        <v>384</v>
      </c>
      <c r="BC206" t="s">
        <v>384</v>
      </c>
      <c r="BD206" t="s">
        <v>384</v>
      </c>
      <c r="BH206" t="s">
        <v>662</v>
      </c>
      <c r="BI206" t="s">
        <v>793</v>
      </c>
    </row>
    <row r="207" spans="1:61" x14ac:dyDescent="0.2">
      <c r="A207">
        <v>0</v>
      </c>
      <c r="B207">
        <v>875</v>
      </c>
      <c r="D207" t="s">
        <v>348</v>
      </c>
      <c r="E207" t="s">
        <v>794</v>
      </c>
      <c r="F207" t="s">
        <v>795</v>
      </c>
      <c r="G207" t="s">
        <v>378</v>
      </c>
      <c r="J207" t="s">
        <v>87</v>
      </c>
      <c r="K207" s="21">
        <v>46262</v>
      </c>
      <c r="L207" s="21">
        <v>46262</v>
      </c>
      <c r="P207" t="s">
        <v>379</v>
      </c>
      <c r="Q207" t="s">
        <v>379</v>
      </c>
      <c r="T207">
        <v>5662</v>
      </c>
      <c r="U207" t="s">
        <v>381</v>
      </c>
      <c r="Y207" t="b">
        <v>1</v>
      </c>
      <c r="AA207" t="s">
        <v>94</v>
      </c>
      <c r="AC207">
        <v>875</v>
      </c>
      <c r="AD207">
        <v>46225</v>
      </c>
      <c r="AE207">
        <v>46161</v>
      </c>
      <c r="AF207">
        <v>102</v>
      </c>
      <c r="AG207">
        <v>102</v>
      </c>
      <c r="AH207" t="s">
        <v>414</v>
      </c>
      <c r="AI207" t="b">
        <v>0</v>
      </c>
      <c r="AJ207" t="s">
        <v>796</v>
      </c>
      <c r="AK207" t="s">
        <v>384</v>
      </c>
      <c r="AL207" t="s">
        <v>385</v>
      </c>
      <c r="AM207" t="s">
        <v>385</v>
      </c>
      <c r="AN207" t="s">
        <v>384</v>
      </c>
      <c r="AO207" t="s">
        <v>384</v>
      </c>
      <c r="AP207" t="s">
        <v>384</v>
      </c>
      <c r="AQ207" t="s">
        <v>384</v>
      </c>
      <c r="AR207" t="s">
        <v>384</v>
      </c>
      <c r="AS207" t="s">
        <v>384</v>
      </c>
      <c r="AT207" t="s">
        <v>384</v>
      </c>
      <c r="AU207" t="s">
        <v>384</v>
      </c>
      <c r="AV207" t="s">
        <v>384</v>
      </c>
      <c r="AW207" t="s">
        <v>384</v>
      </c>
      <c r="AX207" t="s">
        <v>385</v>
      </c>
      <c r="AY207" t="s">
        <v>384</v>
      </c>
      <c r="AZ207" t="s">
        <v>384</v>
      </c>
      <c r="BA207" t="s">
        <v>385</v>
      </c>
      <c r="BB207" t="s">
        <v>384</v>
      </c>
      <c r="BC207" t="s">
        <v>384</v>
      </c>
      <c r="BD207" t="s">
        <v>384</v>
      </c>
      <c r="BI207" t="s">
        <v>794</v>
      </c>
    </row>
    <row r="208" spans="1:61" x14ac:dyDescent="0.2">
      <c r="A208">
        <v>0</v>
      </c>
      <c r="B208">
        <v>876</v>
      </c>
      <c r="D208" t="s">
        <v>348</v>
      </c>
      <c r="E208" t="s">
        <v>797</v>
      </c>
      <c r="F208" t="s">
        <v>795</v>
      </c>
      <c r="G208" t="s">
        <v>378</v>
      </c>
      <c r="J208" t="s">
        <v>87</v>
      </c>
      <c r="K208" s="21">
        <v>46263</v>
      </c>
      <c r="L208" s="21">
        <v>46263</v>
      </c>
      <c r="P208" t="s">
        <v>379</v>
      </c>
      <c r="Q208" t="s">
        <v>379</v>
      </c>
      <c r="T208">
        <v>5663</v>
      </c>
      <c r="U208" t="s">
        <v>381</v>
      </c>
      <c r="Y208" t="b">
        <v>1</v>
      </c>
      <c r="AA208" t="s">
        <v>94</v>
      </c>
      <c r="AC208">
        <v>876</v>
      </c>
      <c r="AD208">
        <v>46225</v>
      </c>
      <c r="AE208">
        <v>46161</v>
      </c>
      <c r="AF208">
        <v>102</v>
      </c>
      <c r="AG208">
        <v>102</v>
      </c>
      <c r="AH208" t="s">
        <v>414</v>
      </c>
      <c r="AI208" t="b">
        <v>0</v>
      </c>
      <c r="AJ208" t="s">
        <v>798</v>
      </c>
      <c r="AK208" t="s">
        <v>384</v>
      </c>
      <c r="AL208" t="s">
        <v>385</v>
      </c>
      <c r="AM208" t="s">
        <v>385</v>
      </c>
      <c r="AN208" t="s">
        <v>384</v>
      </c>
      <c r="AO208" t="s">
        <v>384</v>
      </c>
      <c r="AP208" t="s">
        <v>384</v>
      </c>
      <c r="AQ208" t="s">
        <v>384</v>
      </c>
      <c r="AR208" t="s">
        <v>384</v>
      </c>
      <c r="AS208" t="s">
        <v>384</v>
      </c>
      <c r="AT208" t="s">
        <v>384</v>
      </c>
      <c r="AU208" t="s">
        <v>384</v>
      </c>
      <c r="AV208" t="s">
        <v>384</v>
      </c>
      <c r="AW208" t="s">
        <v>384</v>
      </c>
      <c r="AX208" t="s">
        <v>385</v>
      </c>
      <c r="AY208" t="s">
        <v>384</v>
      </c>
      <c r="AZ208" t="s">
        <v>384</v>
      </c>
      <c r="BA208" t="s">
        <v>385</v>
      </c>
      <c r="BB208" t="s">
        <v>384</v>
      </c>
      <c r="BC208" t="s">
        <v>384</v>
      </c>
      <c r="BD208" t="s">
        <v>384</v>
      </c>
      <c r="BI208" t="s">
        <v>797</v>
      </c>
    </row>
    <row r="209" spans="1:61" x14ac:dyDescent="0.2">
      <c r="A209">
        <v>0</v>
      </c>
      <c r="B209">
        <v>1160</v>
      </c>
      <c r="D209" t="s">
        <v>348</v>
      </c>
      <c r="E209" t="s">
        <v>799</v>
      </c>
      <c r="F209" t="s">
        <v>800</v>
      </c>
      <c r="G209" t="s">
        <v>657</v>
      </c>
      <c r="I209" t="s">
        <v>658</v>
      </c>
      <c r="J209" t="s">
        <v>697</v>
      </c>
      <c r="K209" s="21">
        <v>46265</v>
      </c>
      <c r="L209" s="21">
        <v>46294</v>
      </c>
      <c r="P209" t="s">
        <v>379</v>
      </c>
      <c r="Q209" t="s">
        <v>379</v>
      </c>
      <c r="U209" t="s">
        <v>381</v>
      </c>
      <c r="X209">
        <v>12</v>
      </c>
      <c r="Y209" t="b">
        <v>1</v>
      </c>
      <c r="AA209" t="s">
        <v>6</v>
      </c>
      <c r="AC209">
        <v>1160</v>
      </c>
      <c r="AD209">
        <v>46219</v>
      </c>
      <c r="AE209">
        <v>46219</v>
      </c>
      <c r="AF209">
        <v>102</v>
      </c>
      <c r="AG209">
        <v>102</v>
      </c>
      <c r="AH209" t="s">
        <v>660</v>
      </c>
      <c r="AI209" t="b">
        <v>0</v>
      </c>
      <c r="AJ209" t="s">
        <v>801</v>
      </c>
      <c r="AK209" t="s">
        <v>384</v>
      </c>
      <c r="AL209" t="s">
        <v>385</v>
      </c>
      <c r="AM209" t="s">
        <v>385</v>
      </c>
      <c r="AN209" t="s">
        <v>384</v>
      </c>
      <c r="AO209" t="s">
        <v>384</v>
      </c>
      <c r="AP209" t="s">
        <v>384</v>
      </c>
      <c r="AQ209" t="s">
        <v>384</v>
      </c>
      <c r="AR209" t="s">
        <v>384</v>
      </c>
      <c r="AS209" t="s">
        <v>384</v>
      </c>
      <c r="AT209" t="s">
        <v>384</v>
      </c>
      <c r="AU209" t="s">
        <v>384</v>
      </c>
      <c r="AV209" t="s">
        <v>384</v>
      </c>
      <c r="AW209" t="s">
        <v>384</v>
      </c>
      <c r="AX209" t="s">
        <v>385</v>
      </c>
      <c r="AY209" t="s">
        <v>384</v>
      </c>
      <c r="AZ209" t="s">
        <v>384</v>
      </c>
      <c r="BA209" t="s">
        <v>385</v>
      </c>
      <c r="BB209" t="s">
        <v>384</v>
      </c>
      <c r="BC209" t="s">
        <v>384</v>
      </c>
      <c r="BD209" t="s">
        <v>384</v>
      </c>
      <c r="BH209" t="s">
        <v>662</v>
      </c>
      <c r="BI209" t="s">
        <v>802</v>
      </c>
    </row>
    <row r="210" spans="1:61" x14ac:dyDescent="0.2">
      <c r="A210">
        <v>0</v>
      </c>
      <c r="B210">
        <v>1170</v>
      </c>
      <c r="D210" t="s">
        <v>348</v>
      </c>
      <c r="E210" t="s">
        <v>803</v>
      </c>
      <c r="G210" t="s">
        <v>696</v>
      </c>
      <c r="I210" t="s">
        <v>658</v>
      </c>
      <c r="J210" t="s">
        <v>697</v>
      </c>
      <c r="K210" s="21">
        <v>46265</v>
      </c>
      <c r="L210" s="21">
        <v>46279</v>
      </c>
      <c r="P210" t="s">
        <v>379</v>
      </c>
      <c r="Q210" t="s">
        <v>379</v>
      </c>
      <c r="U210" t="s">
        <v>381</v>
      </c>
      <c r="X210">
        <v>12</v>
      </c>
      <c r="Y210" t="b">
        <v>1</v>
      </c>
      <c r="AA210" t="s">
        <v>7</v>
      </c>
      <c r="AC210">
        <v>1170</v>
      </c>
      <c r="AD210">
        <v>46219</v>
      </c>
      <c r="AE210">
        <v>46219</v>
      </c>
      <c r="AF210">
        <v>102</v>
      </c>
      <c r="AG210">
        <v>102</v>
      </c>
      <c r="AH210" t="s">
        <v>660</v>
      </c>
      <c r="AI210" t="b">
        <v>0</v>
      </c>
      <c r="AJ210" t="s">
        <v>804</v>
      </c>
      <c r="AK210" t="s">
        <v>384</v>
      </c>
      <c r="AL210" t="s">
        <v>385</v>
      </c>
      <c r="AM210" t="s">
        <v>385</v>
      </c>
      <c r="AN210" t="s">
        <v>384</v>
      </c>
      <c r="AO210" t="s">
        <v>384</v>
      </c>
      <c r="AP210" t="s">
        <v>384</v>
      </c>
      <c r="AQ210" t="s">
        <v>384</v>
      </c>
      <c r="AR210" t="s">
        <v>384</v>
      </c>
      <c r="AS210" t="s">
        <v>384</v>
      </c>
      <c r="AT210" t="s">
        <v>384</v>
      </c>
      <c r="AU210" t="s">
        <v>384</v>
      </c>
      <c r="AV210" t="s">
        <v>384</v>
      </c>
      <c r="AW210" t="s">
        <v>384</v>
      </c>
      <c r="AX210" t="s">
        <v>385</v>
      </c>
      <c r="AY210" t="s">
        <v>384</v>
      </c>
      <c r="AZ210" t="s">
        <v>384</v>
      </c>
      <c r="BA210" t="s">
        <v>385</v>
      </c>
      <c r="BB210" t="s">
        <v>384</v>
      </c>
      <c r="BC210" t="s">
        <v>384</v>
      </c>
      <c r="BD210" t="s">
        <v>384</v>
      </c>
      <c r="BH210" t="s">
        <v>662</v>
      </c>
      <c r="BI210" t="s">
        <v>805</v>
      </c>
    </row>
    <row r="211" spans="1:61" x14ac:dyDescent="0.2">
      <c r="A211">
        <v>0</v>
      </c>
      <c r="B211">
        <v>914</v>
      </c>
      <c r="D211" t="s">
        <v>348</v>
      </c>
      <c r="E211" t="s">
        <v>806</v>
      </c>
      <c r="F211" t="s">
        <v>416</v>
      </c>
      <c r="G211" t="s">
        <v>378</v>
      </c>
      <c r="J211" t="s">
        <v>87</v>
      </c>
      <c r="K211" s="21">
        <v>46267</v>
      </c>
      <c r="L211" s="21">
        <v>46267</v>
      </c>
      <c r="P211" t="s">
        <v>379</v>
      </c>
      <c r="Q211" t="s">
        <v>379</v>
      </c>
      <c r="T211">
        <v>5703</v>
      </c>
      <c r="U211" t="s">
        <v>381</v>
      </c>
      <c r="Y211" t="b">
        <v>1</v>
      </c>
      <c r="AA211" t="s">
        <v>94</v>
      </c>
      <c r="AC211">
        <v>914</v>
      </c>
      <c r="AD211">
        <v>46225</v>
      </c>
      <c r="AE211">
        <v>46161</v>
      </c>
      <c r="AF211">
        <v>102</v>
      </c>
      <c r="AG211">
        <v>102</v>
      </c>
      <c r="AH211" t="s">
        <v>414</v>
      </c>
      <c r="AI211" t="b">
        <v>0</v>
      </c>
      <c r="AJ211" t="s">
        <v>807</v>
      </c>
      <c r="AK211" t="s">
        <v>384</v>
      </c>
      <c r="AL211" t="s">
        <v>385</v>
      </c>
      <c r="AM211" t="s">
        <v>385</v>
      </c>
      <c r="AN211" t="s">
        <v>384</v>
      </c>
      <c r="AO211" t="s">
        <v>384</v>
      </c>
      <c r="AP211" t="s">
        <v>384</v>
      </c>
      <c r="AQ211" t="s">
        <v>384</v>
      </c>
      <c r="AR211" t="s">
        <v>384</v>
      </c>
      <c r="AS211" t="s">
        <v>384</v>
      </c>
      <c r="AT211" t="s">
        <v>384</v>
      </c>
      <c r="AU211" t="s">
        <v>384</v>
      </c>
      <c r="AV211" t="s">
        <v>384</v>
      </c>
      <c r="AW211" t="s">
        <v>384</v>
      </c>
      <c r="AX211" t="s">
        <v>385</v>
      </c>
      <c r="AY211" t="s">
        <v>384</v>
      </c>
      <c r="AZ211" t="s">
        <v>384</v>
      </c>
      <c r="BA211" t="s">
        <v>385</v>
      </c>
      <c r="BB211" t="s">
        <v>384</v>
      </c>
      <c r="BC211" t="s">
        <v>384</v>
      </c>
      <c r="BD211" t="s">
        <v>384</v>
      </c>
      <c r="BI211" t="s">
        <v>806</v>
      </c>
    </row>
    <row r="212" spans="1:61" x14ac:dyDescent="0.2">
      <c r="A212">
        <v>0</v>
      </c>
      <c r="B212">
        <v>897</v>
      </c>
      <c r="D212" t="s">
        <v>348</v>
      </c>
      <c r="E212" t="s">
        <v>534</v>
      </c>
      <c r="F212" t="s">
        <v>535</v>
      </c>
      <c r="G212" t="s">
        <v>378</v>
      </c>
      <c r="J212" t="s">
        <v>87</v>
      </c>
      <c r="K212" s="21">
        <v>46268</v>
      </c>
      <c r="L212" s="21">
        <v>46270</v>
      </c>
      <c r="P212" t="s">
        <v>379</v>
      </c>
      <c r="Q212" t="s">
        <v>379</v>
      </c>
      <c r="T212">
        <v>5686</v>
      </c>
      <c r="U212" t="s">
        <v>381</v>
      </c>
      <c r="Y212" t="b">
        <v>1</v>
      </c>
      <c r="AA212" t="s">
        <v>94</v>
      </c>
      <c r="AC212">
        <v>897</v>
      </c>
      <c r="AD212">
        <v>46225</v>
      </c>
      <c r="AE212">
        <v>46161</v>
      </c>
      <c r="AF212">
        <v>102</v>
      </c>
      <c r="AG212">
        <v>102</v>
      </c>
      <c r="AH212" t="s">
        <v>414</v>
      </c>
      <c r="AI212" t="b">
        <v>0</v>
      </c>
      <c r="AJ212" t="s">
        <v>808</v>
      </c>
      <c r="AK212" t="s">
        <v>384</v>
      </c>
      <c r="AL212" t="s">
        <v>385</v>
      </c>
      <c r="AM212" t="s">
        <v>385</v>
      </c>
      <c r="AN212" t="s">
        <v>384</v>
      </c>
      <c r="AO212" t="s">
        <v>384</v>
      </c>
      <c r="AP212" t="s">
        <v>384</v>
      </c>
      <c r="AQ212" t="s">
        <v>384</v>
      </c>
      <c r="AR212" t="s">
        <v>384</v>
      </c>
      <c r="AS212" t="s">
        <v>384</v>
      </c>
      <c r="AT212" t="s">
        <v>384</v>
      </c>
      <c r="AU212" t="s">
        <v>384</v>
      </c>
      <c r="AV212" t="s">
        <v>384</v>
      </c>
      <c r="AW212" t="s">
        <v>384</v>
      </c>
      <c r="AX212" t="s">
        <v>385</v>
      </c>
      <c r="AY212" t="s">
        <v>384</v>
      </c>
      <c r="AZ212" t="s">
        <v>384</v>
      </c>
      <c r="BA212" t="s">
        <v>385</v>
      </c>
      <c r="BB212" t="s">
        <v>384</v>
      </c>
      <c r="BC212" t="s">
        <v>384</v>
      </c>
      <c r="BD212" t="s">
        <v>384</v>
      </c>
      <c r="BI212" t="s">
        <v>534</v>
      </c>
    </row>
    <row r="213" spans="1:61" x14ac:dyDescent="0.2">
      <c r="A213">
        <v>0</v>
      </c>
      <c r="B213">
        <v>1003</v>
      </c>
      <c r="D213" t="s">
        <v>348</v>
      </c>
      <c r="E213" t="s">
        <v>98</v>
      </c>
      <c r="F213" t="s">
        <v>809</v>
      </c>
      <c r="G213" t="s">
        <v>378</v>
      </c>
      <c r="J213" t="s">
        <v>87</v>
      </c>
      <c r="K213" s="21">
        <v>46269</v>
      </c>
      <c r="L213" s="21">
        <v>46269</v>
      </c>
      <c r="P213" t="s">
        <v>379</v>
      </c>
      <c r="Q213" t="s">
        <v>379</v>
      </c>
      <c r="T213">
        <v>6040</v>
      </c>
      <c r="U213" t="s">
        <v>381</v>
      </c>
      <c r="Y213" t="b">
        <v>1</v>
      </c>
      <c r="AA213" t="s">
        <v>94</v>
      </c>
      <c r="AC213">
        <v>1003</v>
      </c>
      <c r="AD213">
        <v>46225</v>
      </c>
      <c r="AE213">
        <v>46161</v>
      </c>
      <c r="AF213">
        <v>102</v>
      </c>
      <c r="AG213">
        <v>102</v>
      </c>
      <c r="AH213" t="s">
        <v>414</v>
      </c>
      <c r="AI213" t="b">
        <v>0</v>
      </c>
      <c r="AJ213" t="s">
        <v>810</v>
      </c>
      <c r="AK213" t="s">
        <v>384</v>
      </c>
      <c r="AL213" t="s">
        <v>385</v>
      </c>
      <c r="AM213" t="s">
        <v>385</v>
      </c>
      <c r="AN213" t="s">
        <v>384</v>
      </c>
      <c r="AO213" t="s">
        <v>384</v>
      </c>
      <c r="AP213" t="s">
        <v>384</v>
      </c>
      <c r="AQ213" t="s">
        <v>384</v>
      </c>
      <c r="AR213" t="s">
        <v>384</v>
      </c>
      <c r="AS213" t="s">
        <v>384</v>
      </c>
      <c r="AT213" t="s">
        <v>384</v>
      </c>
      <c r="AU213" t="s">
        <v>384</v>
      </c>
      <c r="AV213" t="s">
        <v>384</v>
      </c>
      <c r="AW213" t="s">
        <v>384</v>
      </c>
      <c r="AX213" t="s">
        <v>385</v>
      </c>
      <c r="AY213" t="s">
        <v>384</v>
      </c>
      <c r="AZ213" t="s">
        <v>384</v>
      </c>
      <c r="BA213" t="s">
        <v>385</v>
      </c>
      <c r="BB213" t="s">
        <v>384</v>
      </c>
      <c r="BC213" t="s">
        <v>384</v>
      </c>
      <c r="BD213" t="s">
        <v>384</v>
      </c>
      <c r="BI213" t="s">
        <v>98</v>
      </c>
    </row>
    <row r="214" spans="1:61" x14ac:dyDescent="0.2">
      <c r="A214">
        <v>0</v>
      </c>
      <c r="B214">
        <v>1038</v>
      </c>
      <c r="D214" t="s">
        <v>348</v>
      </c>
      <c r="E214" t="s">
        <v>582</v>
      </c>
      <c r="F214" t="s">
        <v>583</v>
      </c>
      <c r="G214" t="s">
        <v>378</v>
      </c>
      <c r="J214" t="s">
        <v>87</v>
      </c>
      <c r="K214" s="21">
        <v>46269</v>
      </c>
      <c r="L214" s="21">
        <v>46299</v>
      </c>
      <c r="P214" t="s">
        <v>379</v>
      </c>
      <c r="Q214" t="s">
        <v>379</v>
      </c>
      <c r="S214" t="s">
        <v>380</v>
      </c>
      <c r="T214">
        <v>7368</v>
      </c>
      <c r="U214" t="s">
        <v>381</v>
      </c>
      <c r="AA214" t="s">
        <v>5</v>
      </c>
      <c r="AC214">
        <v>1038</v>
      </c>
      <c r="AD214">
        <v>46221</v>
      </c>
      <c r="AE214">
        <v>46161</v>
      </c>
      <c r="AF214">
        <v>102</v>
      </c>
      <c r="AG214">
        <v>102</v>
      </c>
      <c r="AH214" t="s">
        <v>519</v>
      </c>
      <c r="AI214" t="b">
        <v>0</v>
      </c>
      <c r="AJ214" t="s">
        <v>811</v>
      </c>
      <c r="AK214" t="s">
        <v>384</v>
      </c>
      <c r="AL214" t="s">
        <v>385</v>
      </c>
      <c r="AM214" t="s">
        <v>385</v>
      </c>
      <c r="AN214" t="s">
        <v>384</v>
      </c>
      <c r="AO214" t="s">
        <v>384</v>
      </c>
      <c r="AP214" t="s">
        <v>384</v>
      </c>
      <c r="AQ214" t="s">
        <v>384</v>
      </c>
      <c r="AR214" t="s">
        <v>384</v>
      </c>
      <c r="AS214" t="s">
        <v>384</v>
      </c>
      <c r="AT214" t="s">
        <v>384</v>
      </c>
      <c r="AU214" t="s">
        <v>384</v>
      </c>
      <c r="AV214" t="s">
        <v>384</v>
      </c>
      <c r="AW214" t="s">
        <v>384</v>
      </c>
      <c r="AX214" t="s">
        <v>385</v>
      </c>
      <c r="AY214" t="s">
        <v>384</v>
      </c>
      <c r="AZ214" t="s">
        <v>384</v>
      </c>
      <c r="BA214" t="s">
        <v>385</v>
      </c>
      <c r="BB214" t="s">
        <v>384</v>
      </c>
      <c r="BC214" t="s">
        <v>384</v>
      </c>
      <c r="BD214" t="s">
        <v>384</v>
      </c>
      <c r="BI214" t="s">
        <v>582</v>
      </c>
    </row>
    <row r="215" spans="1:61" x14ac:dyDescent="0.2">
      <c r="E215" t="s">
        <v>98</v>
      </c>
      <c r="J215" t="s">
        <v>87</v>
      </c>
      <c r="K215" s="21">
        <v>46270</v>
      </c>
      <c r="L215" s="21">
        <v>46270</v>
      </c>
      <c r="AA215" t="s">
        <v>94</v>
      </c>
      <c r="BI215" t="s">
        <v>98</v>
      </c>
    </row>
    <row r="216" spans="1:61" x14ac:dyDescent="0.2">
      <c r="A216">
        <v>0</v>
      </c>
      <c r="B216">
        <v>1054</v>
      </c>
      <c r="D216" t="s">
        <v>348</v>
      </c>
      <c r="E216" t="s">
        <v>812</v>
      </c>
      <c r="F216" t="s">
        <v>813</v>
      </c>
      <c r="G216" t="s">
        <v>378</v>
      </c>
      <c r="J216" t="s">
        <v>87</v>
      </c>
      <c r="K216" s="21">
        <v>46274</v>
      </c>
      <c r="L216" s="21">
        <v>46335</v>
      </c>
      <c r="P216" t="s">
        <v>379</v>
      </c>
      <c r="Q216" t="s">
        <v>379</v>
      </c>
      <c r="S216" t="s">
        <v>380</v>
      </c>
      <c r="T216">
        <v>7394</v>
      </c>
      <c r="U216" t="s">
        <v>381</v>
      </c>
      <c r="AA216" t="s">
        <v>5</v>
      </c>
      <c r="AC216">
        <v>1054</v>
      </c>
      <c r="AD216">
        <v>46221</v>
      </c>
      <c r="AE216">
        <v>46161</v>
      </c>
      <c r="AF216">
        <v>102</v>
      </c>
      <c r="AG216">
        <v>102</v>
      </c>
      <c r="AH216" t="s">
        <v>519</v>
      </c>
      <c r="AI216" t="b">
        <v>0</v>
      </c>
      <c r="AJ216" t="s">
        <v>814</v>
      </c>
      <c r="AK216" t="s">
        <v>384</v>
      </c>
      <c r="AL216" t="s">
        <v>385</v>
      </c>
      <c r="AM216" t="s">
        <v>385</v>
      </c>
      <c r="AN216" t="s">
        <v>384</v>
      </c>
      <c r="AO216" t="s">
        <v>384</v>
      </c>
      <c r="AP216" t="s">
        <v>384</v>
      </c>
      <c r="AQ216" t="s">
        <v>384</v>
      </c>
      <c r="AR216" t="s">
        <v>384</v>
      </c>
      <c r="AS216" t="s">
        <v>384</v>
      </c>
      <c r="AT216" t="s">
        <v>384</v>
      </c>
      <c r="AU216" t="s">
        <v>384</v>
      </c>
      <c r="AV216" t="s">
        <v>384</v>
      </c>
      <c r="AW216" t="s">
        <v>384</v>
      </c>
      <c r="AX216" t="s">
        <v>385</v>
      </c>
      <c r="AY216" t="s">
        <v>384</v>
      </c>
      <c r="AZ216" t="s">
        <v>384</v>
      </c>
      <c r="BA216" t="s">
        <v>385</v>
      </c>
      <c r="BB216" t="s">
        <v>384</v>
      </c>
      <c r="BC216" t="s">
        <v>384</v>
      </c>
      <c r="BD216" t="s">
        <v>384</v>
      </c>
      <c r="BI216" t="s">
        <v>812</v>
      </c>
    </row>
    <row r="217" spans="1:61" x14ac:dyDescent="0.2">
      <c r="A217">
        <v>0</v>
      </c>
      <c r="B217">
        <v>1032</v>
      </c>
      <c r="D217" t="s">
        <v>348</v>
      </c>
      <c r="E217" t="s">
        <v>815</v>
      </c>
      <c r="F217" t="s">
        <v>816</v>
      </c>
      <c r="G217" t="s">
        <v>378</v>
      </c>
      <c r="J217" t="s">
        <v>87</v>
      </c>
      <c r="K217" s="21">
        <v>46274</v>
      </c>
      <c r="L217" s="21">
        <v>46335</v>
      </c>
      <c r="P217" t="s">
        <v>379</v>
      </c>
      <c r="Q217" t="s">
        <v>379</v>
      </c>
      <c r="T217">
        <v>7250</v>
      </c>
      <c r="U217" t="s">
        <v>381</v>
      </c>
      <c r="AA217" t="s">
        <v>5</v>
      </c>
      <c r="AC217">
        <v>1032</v>
      </c>
      <c r="AD217">
        <v>46221</v>
      </c>
      <c r="AE217">
        <v>46161</v>
      </c>
      <c r="AF217">
        <v>102</v>
      </c>
      <c r="AG217">
        <v>102</v>
      </c>
      <c r="AH217" t="s">
        <v>519</v>
      </c>
      <c r="AI217" t="b">
        <v>0</v>
      </c>
      <c r="AJ217" t="s">
        <v>817</v>
      </c>
      <c r="AK217" t="s">
        <v>384</v>
      </c>
      <c r="AL217" t="s">
        <v>385</v>
      </c>
      <c r="AM217" t="s">
        <v>385</v>
      </c>
      <c r="AN217" t="s">
        <v>384</v>
      </c>
      <c r="AO217" t="s">
        <v>384</v>
      </c>
      <c r="AP217" t="s">
        <v>384</v>
      </c>
      <c r="AQ217" t="s">
        <v>384</v>
      </c>
      <c r="AR217" t="s">
        <v>384</v>
      </c>
      <c r="AS217" t="s">
        <v>384</v>
      </c>
      <c r="AT217" t="s">
        <v>384</v>
      </c>
      <c r="AU217" t="s">
        <v>384</v>
      </c>
      <c r="AV217" t="s">
        <v>384</v>
      </c>
      <c r="AW217" t="s">
        <v>384</v>
      </c>
      <c r="AX217" t="s">
        <v>385</v>
      </c>
      <c r="AY217" t="s">
        <v>384</v>
      </c>
      <c r="AZ217" t="s">
        <v>384</v>
      </c>
      <c r="BA217" t="s">
        <v>385</v>
      </c>
      <c r="BB217" t="s">
        <v>384</v>
      </c>
      <c r="BC217" t="s">
        <v>384</v>
      </c>
      <c r="BD217" t="s">
        <v>384</v>
      </c>
      <c r="BI217" t="s">
        <v>815</v>
      </c>
    </row>
    <row r="218" spans="1:61" x14ac:dyDescent="0.2">
      <c r="A218">
        <v>0</v>
      </c>
      <c r="B218">
        <v>1031</v>
      </c>
      <c r="D218" t="s">
        <v>348</v>
      </c>
      <c r="E218" t="s">
        <v>812</v>
      </c>
      <c r="F218" t="s">
        <v>813</v>
      </c>
      <c r="G218" t="s">
        <v>378</v>
      </c>
      <c r="J218" t="s">
        <v>87</v>
      </c>
      <c r="K218" s="21">
        <v>46274</v>
      </c>
      <c r="L218" s="21">
        <v>46335</v>
      </c>
      <c r="P218" t="s">
        <v>379</v>
      </c>
      <c r="Q218" t="s">
        <v>379</v>
      </c>
      <c r="T218">
        <v>7249</v>
      </c>
      <c r="U218" t="s">
        <v>381</v>
      </c>
      <c r="AA218" t="s">
        <v>5</v>
      </c>
      <c r="AC218">
        <v>1031</v>
      </c>
      <c r="AD218">
        <v>46221</v>
      </c>
      <c r="AE218">
        <v>46161</v>
      </c>
      <c r="AF218">
        <v>102</v>
      </c>
      <c r="AG218">
        <v>102</v>
      </c>
      <c r="AH218" t="s">
        <v>519</v>
      </c>
      <c r="AI218" t="b">
        <v>0</v>
      </c>
      <c r="AJ218" t="s">
        <v>818</v>
      </c>
      <c r="AK218" t="s">
        <v>384</v>
      </c>
      <c r="AL218" t="s">
        <v>385</v>
      </c>
      <c r="AM218" t="s">
        <v>385</v>
      </c>
      <c r="AN218" t="s">
        <v>384</v>
      </c>
      <c r="AO218" t="s">
        <v>384</v>
      </c>
      <c r="AP218" t="s">
        <v>384</v>
      </c>
      <c r="AQ218" t="s">
        <v>384</v>
      </c>
      <c r="AR218" t="s">
        <v>384</v>
      </c>
      <c r="AS218" t="s">
        <v>384</v>
      </c>
      <c r="AT218" t="s">
        <v>384</v>
      </c>
      <c r="AU218" t="s">
        <v>384</v>
      </c>
      <c r="AV218" t="s">
        <v>384</v>
      </c>
      <c r="AW218" t="s">
        <v>384</v>
      </c>
      <c r="AX218" t="s">
        <v>385</v>
      </c>
      <c r="AY218" t="s">
        <v>384</v>
      </c>
      <c r="AZ218" t="s">
        <v>384</v>
      </c>
      <c r="BA218" t="s">
        <v>385</v>
      </c>
      <c r="BB218" t="s">
        <v>384</v>
      </c>
      <c r="BC218" t="s">
        <v>384</v>
      </c>
      <c r="BD218" t="s">
        <v>384</v>
      </c>
      <c r="BI218" t="s">
        <v>812</v>
      </c>
    </row>
    <row r="219" spans="1:61" x14ac:dyDescent="0.2">
      <c r="A219">
        <v>0</v>
      </c>
      <c r="B219">
        <v>1055</v>
      </c>
      <c r="D219" t="s">
        <v>348</v>
      </c>
      <c r="E219" t="s">
        <v>815</v>
      </c>
      <c r="F219" t="s">
        <v>816</v>
      </c>
      <c r="G219" t="s">
        <v>378</v>
      </c>
      <c r="J219" t="s">
        <v>87</v>
      </c>
      <c r="K219" s="21">
        <v>46274</v>
      </c>
      <c r="L219" s="21">
        <v>46335</v>
      </c>
      <c r="P219" t="s">
        <v>379</v>
      </c>
      <c r="Q219" t="s">
        <v>379</v>
      </c>
      <c r="S219" t="s">
        <v>380</v>
      </c>
      <c r="T219">
        <v>7395</v>
      </c>
      <c r="U219" t="s">
        <v>381</v>
      </c>
      <c r="AA219" t="s">
        <v>5</v>
      </c>
      <c r="AC219">
        <v>1055</v>
      </c>
      <c r="AD219">
        <v>46221</v>
      </c>
      <c r="AE219">
        <v>46161</v>
      </c>
      <c r="AF219">
        <v>102</v>
      </c>
      <c r="AG219">
        <v>102</v>
      </c>
      <c r="AH219" t="s">
        <v>519</v>
      </c>
      <c r="AI219" t="b">
        <v>0</v>
      </c>
      <c r="AJ219" t="s">
        <v>819</v>
      </c>
      <c r="AK219" t="s">
        <v>384</v>
      </c>
      <c r="AL219" t="s">
        <v>385</v>
      </c>
      <c r="AM219" t="s">
        <v>385</v>
      </c>
      <c r="AN219" t="s">
        <v>384</v>
      </c>
      <c r="AO219" t="s">
        <v>384</v>
      </c>
      <c r="AP219" t="s">
        <v>384</v>
      </c>
      <c r="AQ219" t="s">
        <v>384</v>
      </c>
      <c r="AR219" t="s">
        <v>384</v>
      </c>
      <c r="AS219" t="s">
        <v>384</v>
      </c>
      <c r="AT219" t="s">
        <v>384</v>
      </c>
      <c r="AU219" t="s">
        <v>384</v>
      </c>
      <c r="AV219" t="s">
        <v>384</v>
      </c>
      <c r="AW219" t="s">
        <v>384</v>
      </c>
      <c r="AX219" t="s">
        <v>385</v>
      </c>
      <c r="AY219" t="s">
        <v>384</v>
      </c>
      <c r="AZ219" t="s">
        <v>384</v>
      </c>
      <c r="BA219" t="s">
        <v>385</v>
      </c>
      <c r="BB219" t="s">
        <v>384</v>
      </c>
      <c r="BC219" t="s">
        <v>384</v>
      </c>
      <c r="BD219" t="s">
        <v>384</v>
      </c>
      <c r="BI219" t="s">
        <v>815</v>
      </c>
    </row>
    <row r="220" spans="1:61" x14ac:dyDescent="0.2">
      <c r="A220">
        <v>0</v>
      </c>
      <c r="B220">
        <v>1118</v>
      </c>
      <c r="D220" t="s">
        <v>348</v>
      </c>
      <c r="E220" t="s">
        <v>421</v>
      </c>
      <c r="F220" t="s">
        <v>820</v>
      </c>
      <c r="G220" t="s">
        <v>378</v>
      </c>
      <c r="J220" t="s">
        <v>87</v>
      </c>
      <c r="K220" s="21">
        <v>46276</v>
      </c>
      <c r="L220" s="21">
        <v>46276</v>
      </c>
      <c r="P220" t="s">
        <v>379</v>
      </c>
      <c r="Q220" t="s">
        <v>379</v>
      </c>
      <c r="S220" t="s">
        <v>380</v>
      </c>
      <c r="T220">
        <v>7597</v>
      </c>
      <c r="U220" t="s">
        <v>381</v>
      </c>
      <c r="AA220" t="s">
        <v>5</v>
      </c>
      <c r="AC220">
        <v>1118</v>
      </c>
      <c r="AD220">
        <v>46221</v>
      </c>
      <c r="AE220">
        <v>46161</v>
      </c>
      <c r="AF220">
        <v>102</v>
      </c>
      <c r="AG220">
        <v>102</v>
      </c>
      <c r="AH220" t="s">
        <v>519</v>
      </c>
      <c r="AI220" t="b">
        <v>0</v>
      </c>
      <c r="AJ220" t="s">
        <v>821</v>
      </c>
      <c r="AK220" t="s">
        <v>384</v>
      </c>
      <c r="AL220" t="s">
        <v>385</v>
      </c>
      <c r="AM220" t="s">
        <v>385</v>
      </c>
      <c r="AN220" t="s">
        <v>384</v>
      </c>
      <c r="AO220" t="s">
        <v>384</v>
      </c>
      <c r="AP220" t="s">
        <v>384</v>
      </c>
      <c r="AQ220" t="s">
        <v>384</v>
      </c>
      <c r="AR220" t="s">
        <v>384</v>
      </c>
      <c r="AS220" t="s">
        <v>384</v>
      </c>
      <c r="AT220" t="s">
        <v>384</v>
      </c>
      <c r="AU220" t="s">
        <v>384</v>
      </c>
      <c r="AV220" t="s">
        <v>384</v>
      </c>
      <c r="AW220" t="s">
        <v>384</v>
      </c>
      <c r="AX220" t="s">
        <v>385</v>
      </c>
      <c r="AY220" t="s">
        <v>384</v>
      </c>
      <c r="AZ220" t="s">
        <v>384</v>
      </c>
      <c r="BA220" t="s">
        <v>385</v>
      </c>
      <c r="BB220" t="s">
        <v>384</v>
      </c>
      <c r="BC220" t="s">
        <v>384</v>
      </c>
      <c r="BD220" t="s">
        <v>384</v>
      </c>
      <c r="BI220" t="s">
        <v>421</v>
      </c>
    </row>
    <row r="221" spans="1:61" x14ac:dyDescent="0.2">
      <c r="A221">
        <v>0</v>
      </c>
      <c r="B221">
        <v>987</v>
      </c>
      <c r="D221" t="s">
        <v>348</v>
      </c>
      <c r="E221" t="s">
        <v>442</v>
      </c>
      <c r="F221" t="s">
        <v>406</v>
      </c>
      <c r="G221" t="s">
        <v>378</v>
      </c>
      <c r="J221" t="s">
        <v>87</v>
      </c>
      <c r="K221" s="21">
        <v>46280</v>
      </c>
      <c r="L221" s="21">
        <v>46280</v>
      </c>
      <c r="P221" t="s">
        <v>379</v>
      </c>
      <c r="Q221" t="s">
        <v>379</v>
      </c>
      <c r="T221">
        <v>5777</v>
      </c>
      <c r="U221" t="s">
        <v>381</v>
      </c>
      <c r="Y221" t="b">
        <v>1</v>
      </c>
      <c r="AA221" t="s">
        <v>94</v>
      </c>
      <c r="AC221">
        <v>987</v>
      </c>
      <c r="AD221">
        <v>46225</v>
      </c>
      <c r="AE221">
        <v>46161</v>
      </c>
      <c r="AF221">
        <v>102</v>
      </c>
      <c r="AG221">
        <v>102</v>
      </c>
      <c r="AH221" t="s">
        <v>414</v>
      </c>
      <c r="AI221" t="b">
        <v>0</v>
      </c>
      <c r="AJ221" t="s">
        <v>822</v>
      </c>
      <c r="AK221" t="s">
        <v>384</v>
      </c>
      <c r="AL221" t="s">
        <v>385</v>
      </c>
      <c r="AM221" t="s">
        <v>385</v>
      </c>
      <c r="AN221" t="s">
        <v>384</v>
      </c>
      <c r="AO221" t="s">
        <v>384</v>
      </c>
      <c r="AP221" t="s">
        <v>384</v>
      </c>
      <c r="AQ221" t="s">
        <v>384</v>
      </c>
      <c r="AR221" t="s">
        <v>384</v>
      </c>
      <c r="AS221" t="s">
        <v>384</v>
      </c>
      <c r="AT221" t="s">
        <v>384</v>
      </c>
      <c r="AU221" t="s">
        <v>384</v>
      </c>
      <c r="AV221" t="s">
        <v>384</v>
      </c>
      <c r="AW221" t="s">
        <v>384</v>
      </c>
      <c r="AX221" t="s">
        <v>385</v>
      </c>
      <c r="AY221" t="s">
        <v>384</v>
      </c>
      <c r="AZ221" t="s">
        <v>384</v>
      </c>
      <c r="BA221" t="s">
        <v>385</v>
      </c>
      <c r="BB221" t="s">
        <v>384</v>
      </c>
      <c r="BC221" t="s">
        <v>384</v>
      </c>
      <c r="BD221" t="s">
        <v>384</v>
      </c>
      <c r="BI221" t="s">
        <v>442</v>
      </c>
    </row>
    <row r="222" spans="1:61" x14ac:dyDescent="0.2">
      <c r="A222">
        <v>0</v>
      </c>
      <c r="B222">
        <v>935</v>
      </c>
      <c r="D222" t="s">
        <v>348</v>
      </c>
      <c r="E222" t="s">
        <v>445</v>
      </c>
      <c r="F222" t="s">
        <v>406</v>
      </c>
      <c r="G222" t="s">
        <v>378</v>
      </c>
      <c r="J222" t="s">
        <v>87</v>
      </c>
      <c r="K222" s="21">
        <v>46281</v>
      </c>
      <c r="L222" s="21">
        <v>46281</v>
      </c>
      <c r="P222" t="s">
        <v>379</v>
      </c>
      <c r="Q222" t="s">
        <v>379</v>
      </c>
      <c r="T222">
        <v>5725</v>
      </c>
      <c r="U222" t="s">
        <v>381</v>
      </c>
      <c r="Y222" t="b">
        <v>1</v>
      </c>
      <c r="AA222" t="s">
        <v>94</v>
      </c>
      <c r="AC222">
        <v>935</v>
      </c>
      <c r="AD222">
        <v>46225</v>
      </c>
      <c r="AE222">
        <v>46161</v>
      </c>
      <c r="AF222">
        <v>102</v>
      </c>
      <c r="AG222">
        <v>102</v>
      </c>
      <c r="AH222" t="s">
        <v>414</v>
      </c>
      <c r="AI222" t="b">
        <v>0</v>
      </c>
      <c r="AJ222" t="s">
        <v>823</v>
      </c>
      <c r="AK222" t="s">
        <v>384</v>
      </c>
      <c r="AL222" t="s">
        <v>385</v>
      </c>
      <c r="AM222" t="s">
        <v>385</v>
      </c>
      <c r="AN222" t="s">
        <v>384</v>
      </c>
      <c r="AO222" t="s">
        <v>384</v>
      </c>
      <c r="AP222" t="s">
        <v>384</v>
      </c>
      <c r="AQ222" t="s">
        <v>384</v>
      </c>
      <c r="AR222" t="s">
        <v>384</v>
      </c>
      <c r="AS222" t="s">
        <v>384</v>
      </c>
      <c r="AT222" t="s">
        <v>384</v>
      </c>
      <c r="AU222" t="s">
        <v>384</v>
      </c>
      <c r="AV222" t="s">
        <v>384</v>
      </c>
      <c r="AW222" t="s">
        <v>384</v>
      </c>
      <c r="AX222" t="s">
        <v>385</v>
      </c>
      <c r="AY222" t="s">
        <v>384</v>
      </c>
      <c r="AZ222" t="s">
        <v>384</v>
      </c>
      <c r="BA222" t="s">
        <v>385</v>
      </c>
      <c r="BB222" t="s">
        <v>384</v>
      </c>
      <c r="BC222" t="s">
        <v>384</v>
      </c>
      <c r="BD222" t="s">
        <v>384</v>
      </c>
      <c r="BI222" t="s">
        <v>445</v>
      </c>
    </row>
    <row r="223" spans="1:61" x14ac:dyDescent="0.2">
      <c r="A223">
        <v>0</v>
      </c>
      <c r="B223">
        <v>1171</v>
      </c>
      <c r="D223" t="s">
        <v>348</v>
      </c>
      <c r="E223" t="s">
        <v>824</v>
      </c>
      <c r="G223" t="s">
        <v>696</v>
      </c>
      <c r="I223" t="s">
        <v>658</v>
      </c>
      <c r="J223" t="s">
        <v>697</v>
      </c>
      <c r="K223" s="21">
        <v>46282</v>
      </c>
      <c r="L223" s="21">
        <v>46282</v>
      </c>
      <c r="P223" t="s">
        <v>379</v>
      </c>
      <c r="Q223" t="s">
        <v>379</v>
      </c>
      <c r="U223" t="s">
        <v>381</v>
      </c>
      <c r="X223">
        <v>12</v>
      </c>
      <c r="Y223" t="b">
        <v>1</v>
      </c>
      <c r="AA223" t="s">
        <v>6</v>
      </c>
      <c r="AC223">
        <v>1171</v>
      </c>
      <c r="AD223">
        <v>46219</v>
      </c>
      <c r="AE223">
        <v>46219</v>
      </c>
      <c r="AF223">
        <v>102</v>
      </c>
      <c r="AG223">
        <v>102</v>
      </c>
      <c r="AH223" t="s">
        <v>660</v>
      </c>
      <c r="AI223" t="b">
        <v>0</v>
      </c>
      <c r="AJ223" t="s">
        <v>825</v>
      </c>
      <c r="AK223" t="s">
        <v>384</v>
      </c>
      <c r="AL223" t="s">
        <v>385</v>
      </c>
      <c r="AM223" t="s">
        <v>385</v>
      </c>
      <c r="AN223" t="s">
        <v>384</v>
      </c>
      <c r="AO223" t="s">
        <v>384</v>
      </c>
      <c r="AP223" t="s">
        <v>384</v>
      </c>
      <c r="AQ223" t="s">
        <v>384</v>
      </c>
      <c r="AR223" t="s">
        <v>384</v>
      </c>
      <c r="AS223" t="s">
        <v>384</v>
      </c>
      <c r="AT223" t="s">
        <v>384</v>
      </c>
      <c r="AU223" t="s">
        <v>384</v>
      </c>
      <c r="AV223" t="s">
        <v>384</v>
      </c>
      <c r="AW223" t="s">
        <v>384</v>
      </c>
      <c r="AX223" t="s">
        <v>385</v>
      </c>
      <c r="AY223" t="s">
        <v>384</v>
      </c>
      <c r="AZ223" t="s">
        <v>384</v>
      </c>
      <c r="BA223" t="s">
        <v>385</v>
      </c>
      <c r="BB223" t="s">
        <v>384</v>
      </c>
      <c r="BC223" t="s">
        <v>384</v>
      </c>
      <c r="BD223" t="s">
        <v>384</v>
      </c>
      <c r="BH223" t="s">
        <v>662</v>
      </c>
      <c r="BI223" t="s">
        <v>826</v>
      </c>
    </row>
    <row r="224" spans="1:61" x14ac:dyDescent="0.2">
      <c r="A224">
        <v>0</v>
      </c>
      <c r="B224">
        <v>873</v>
      </c>
      <c r="D224" t="s">
        <v>348</v>
      </c>
      <c r="E224" t="s">
        <v>827</v>
      </c>
      <c r="F224" t="s">
        <v>416</v>
      </c>
      <c r="G224" t="s">
        <v>378</v>
      </c>
      <c r="J224" t="s">
        <v>87</v>
      </c>
      <c r="K224" s="21">
        <v>46283</v>
      </c>
      <c r="L224" s="21">
        <v>46289</v>
      </c>
      <c r="P224" t="s">
        <v>379</v>
      </c>
      <c r="Q224" t="s">
        <v>379</v>
      </c>
      <c r="T224">
        <v>5660</v>
      </c>
      <c r="U224" t="s">
        <v>381</v>
      </c>
      <c r="Y224" t="b">
        <v>1</v>
      </c>
      <c r="AA224" t="s">
        <v>94</v>
      </c>
      <c r="AC224">
        <v>873</v>
      </c>
      <c r="AD224">
        <v>46225</v>
      </c>
      <c r="AE224">
        <v>46161</v>
      </c>
      <c r="AF224">
        <v>102</v>
      </c>
      <c r="AG224">
        <v>102</v>
      </c>
      <c r="AH224" t="s">
        <v>414</v>
      </c>
      <c r="AI224" t="b">
        <v>0</v>
      </c>
      <c r="AJ224" t="s">
        <v>828</v>
      </c>
      <c r="AK224" t="s">
        <v>384</v>
      </c>
      <c r="AL224" t="s">
        <v>385</v>
      </c>
      <c r="AM224" t="s">
        <v>385</v>
      </c>
      <c r="AN224" t="s">
        <v>384</v>
      </c>
      <c r="AO224" t="s">
        <v>384</v>
      </c>
      <c r="AP224" t="s">
        <v>384</v>
      </c>
      <c r="AQ224" t="s">
        <v>384</v>
      </c>
      <c r="AR224" t="s">
        <v>384</v>
      </c>
      <c r="AS224" t="s">
        <v>384</v>
      </c>
      <c r="AT224" t="s">
        <v>384</v>
      </c>
      <c r="AU224" t="s">
        <v>384</v>
      </c>
      <c r="AV224" t="s">
        <v>384</v>
      </c>
      <c r="AW224" t="s">
        <v>384</v>
      </c>
      <c r="AX224" t="s">
        <v>385</v>
      </c>
      <c r="AY224" t="s">
        <v>384</v>
      </c>
      <c r="AZ224" t="s">
        <v>384</v>
      </c>
      <c r="BA224" t="s">
        <v>385</v>
      </c>
      <c r="BB224" t="s">
        <v>384</v>
      </c>
      <c r="BC224" t="s">
        <v>384</v>
      </c>
      <c r="BD224" t="s">
        <v>384</v>
      </c>
      <c r="BI224" t="s">
        <v>827</v>
      </c>
    </row>
    <row r="225" spans="1:61" x14ac:dyDescent="0.2">
      <c r="A225">
        <v>0</v>
      </c>
      <c r="B225">
        <v>999</v>
      </c>
      <c r="D225" t="s">
        <v>348</v>
      </c>
      <c r="E225" t="s">
        <v>405</v>
      </c>
      <c r="F225" t="s">
        <v>406</v>
      </c>
      <c r="G225" t="s">
        <v>378</v>
      </c>
      <c r="J225" t="s">
        <v>87</v>
      </c>
      <c r="K225" s="21">
        <v>46284</v>
      </c>
      <c r="L225" s="21">
        <v>46284</v>
      </c>
      <c r="P225" t="s">
        <v>379</v>
      </c>
      <c r="Q225" t="s">
        <v>379</v>
      </c>
      <c r="T225">
        <v>5789</v>
      </c>
      <c r="U225" t="s">
        <v>381</v>
      </c>
      <c r="Y225" t="b">
        <v>1</v>
      </c>
      <c r="AA225" t="s">
        <v>94</v>
      </c>
      <c r="AC225">
        <v>999</v>
      </c>
      <c r="AD225">
        <v>46225</v>
      </c>
      <c r="AE225">
        <v>46161</v>
      </c>
      <c r="AF225">
        <v>102</v>
      </c>
      <c r="AG225">
        <v>102</v>
      </c>
      <c r="AH225" t="s">
        <v>414</v>
      </c>
      <c r="AI225" t="b">
        <v>0</v>
      </c>
      <c r="AJ225" t="s">
        <v>829</v>
      </c>
      <c r="AK225" t="s">
        <v>384</v>
      </c>
      <c r="AL225" t="s">
        <v>385</v>
      </c>
      <c r="AM225" t="s">
        <v>385</v>
      </c>
      <c r="AN225" t="s">
        <v>384</v>
      </c>
      <c r="AO225" t="s">
        <v>384</v>
      </c>
      <c r="AP225" t="s">
        <v>384</v>
      </c>
      <c r="AQ225" t="s">
        <v>384</v>
      </c>
      <c r="AR225" t="s">
        <v>384</v>
      </c>
      <c r="AS225" t="s">
        <v>384</v>
      </c>
      <c r="AT225" t="s">
        <v>384</v>
      </c>
      <c r="AU225" t="s">
        <v>384</v>
      </c>
      <c r="AV225" t="s">
        <v>384</v>
      </c>
      <c r="AW225" t="s">
        <v>384</v>
      </c>
      <c r="AX225" t="s">
        <v>385</v>
      </c>
      <c r="AY225" t="s">
        <v>384</v>
      </c>
      <c r="AZ225" t="s">
        <v>384</v>
      </c>
      <c r="BA225" t="s">
        <v>385</v>
      </c>
      <c r="BB225" t="s">
        <v>384</v>
      </c>
      <c r="BC225" t="s">
        <v>384</v>
      </c>
      <c r="BD225" t="s">
        <v>384</v>
      </c>
      <c r="BI225" t="s">
        <v>405</v>
      </c>
    </row>
    <row r="226" spans="1:61" x14ac:dyDescent="0.2">
      <c r="E226" t="s">
        <v>91</v>
      </c>
      <c r="J226" t="s">
        <v>87</v>
      </c>
      <c r="K226" s="21">
        <v>46284</v>
      </c>
      <c r="L226" s="21">
        <v>46300</v>
      </c>
      <c r="AA226" t="s">
        <v>88</v>
      </c>
      <c r="BI226" t="s">
        <v>91</v>
      </c>
    </row>
    <row r="227" spans="1:61" x14ac:dyDescent="0.2">
      <c r="A227">
        <v>0</v>
      </c>
      <c r="B227">
        <v>958</v>
      </c>
      <c r="D227" t="s">
        <v>348</v>
      </c>
      <c r="E227" t="s">
        <v>409</v>
      </c>
      <c r="F227" t="s">
        <v>410</v>
      </c>
      <c r="G227" t="s">
        <v>378</v>
      </c>
      <c r="J227" t="s">
        <v>87</v>
      </c>
      <c r="K227" s="21">
        <v>46285</v>
      </c>
      <c r="L227" s="21">
        <v>46285</v>
      </c>
      <c r="P227" t="s">
        <v>379</v>
      </c>
      <c r="Q227" t="s">
        <v>379</v>
      </c>
      <c r="T227">
        <v>5748</v>
      </c>
      <c r="U227" t="s">
        <v>381</v>
      </c>
      <c r="AA227" t="s">
        <v>5</v>
      </c>
      <c r="AC227">
        <v>958</v>
      </c>
      <c r="AD227">
        <v>46221</v>
      </c>
      <c r="AE227">
        <v>46161</v>
      </c>
      <c r="AF227">
        <v>102</v>
      </c>
      <c r="AG227">
        <v>102</v>
      </c>
      <c r="AH227" t="s">
        <v>519</v>
      </c>
      <c r="AI227" t="b">
        <v>0</v>
      </c>
      <c r="AJ227" t="s">
        <v>830</v>
      </c>
      <c r="AK227" t="s">
        <v>384</v>
      </c>
      <c r="AL227" t="s">
        <v>385</v>
      </c>
      <c r="AM227" t="s">
        <v>385</v>
      </c>
      <c r="AN227" t="s">
        <v>384</v>
      </c>
      <c r="AO227" t="s">
        <v>384</v>
      </c>
      <c r="AP227" t="s">
        <v>384</v>
      </c>
      <c r="AQ227" t="s">
        <v>384</v>
      </c>
      <c r="AR227" t="s">
        <v>384</v>
      </c>
      <c r="AS227" t="s">
        <v>384</v>
      </c>
      <c r="AT227" t="s">
        <v>384</v>
      </c>
      <c r="AU227" t="s">
        <v>384</v>
      </c>
      <c r="AV227" t="s">
        <v>384</v>
      </c>
      <c r="AW227" t="s">
        <v>384</v>
      </c>
      <c r="AX227" t="s">
        <v>385</v>
      </c>
      <c r="AY227" t="s">
        <v>384</v>
      </c>
      <c r="AZ227" t="s">
        <v>384</v>
      </c>
      <c r="BA227" t="s">
        <v>385</v>
      </c>
      <c r="BB227" t="s">
        <v>384</v>
      </c>
      <c r="BC227" t="s">
        <v>384</v>
      </c>
      <c r="BD227" t="s">
        <v>384</v>
      </c>
      <c r="BI227" t="s">
        <v>409</v>
      </c>
    </row>
    <row r="228" spans="1:61" x14ac:dyDescent="0.2">
      <c r="A228">
        <v>0</v>
      </c>
      <c r="B228">
        <v>1172</v>
      </c>
      <c r="D228" t="s">
        <v>348</v>
      </c>
      <c r="E228" t="s">
        <v>831</v>
      </c>
      <c r="G228" t="s">
        <v>696</v>
      </c>
      <c r="I228" t="s">
        <v>658</v>
      </c>
      <c r="J228" t="s">
        <v>697</v>
      </c>
      <c r="K228" s="21">
        <v>46285</v>
      </c>
      <c r="L228" s="21">
        <v>46285</v>
      </c>
      <c r="P228" t="s">
        <v>379</v>
      </c>
      <c r="Q228" t="s">
        <v>379</v>
      </c>
      <c r="U228" t="s">
        <v>381</v>
      </c>
      <c r="X228">
        <v>12</v>
      </c>
      <c r="Y228" t="b">
        <v>1</v>
      </c>
      <c r="AA228" t="s">
        <v>6</v>
      </c>
      <c r="AC228">
        <v>1172</v>
      </c>
      <c r="AD228">
        <v>46219</v>
      </c>
      <c r="AE228">
        <v>46219</v>
      </c>
      <c r="AF228">
        <v>102</v>
      </c>
      <c r="AG228">
        <v>102</v>
      </c>
      <c r="AH228" t="s">
        <v>660</v>
      </c>
      <c r="AI228" t="b">
        <v>0</v>
      </c>
      <c r="AJ228" t="s">
        <v>832</v>
      </c>
      <c r="AK228" t="s">
        <v>384</v>
      </c>
      <c r="AL228" t="s">
        <v>385</v>
      </c>
      <c r="AM228" t="s">
        <v>385</v>
      </c>
      <c r="AN228" t="s">
        <v>384</v>
      </c>
      <c r="AO228" t="s">
        <v>384</v>
      </c>
      <c r="AP228" t="s">
        <v>384</v>
      </c>
      <c r="AQ228" t="s">
        <v>384</v>
      </c>
      <c r="AR228" t="s">
        <v>384</v>
      </c>
      <c r="AS228" t="s">
        <v>384</v>
      </c>
      <c r="AT228" t="s">
        <v>384</v>
      </c>
      <c r="AU228" t="s">
        <v>384</v>
      </c>
      <c r="AV228" t="s">
        <v>384</v>
      </c>
      <c r="AW228" t="s">
        <v>384</v>
      </c>
      <c r="AX228" t="s">
        <v>385</v>
      </c>
      <c r="AY228" t="s">
        <v>384</v>
      </c>
      <c r="AZ228" t="s">
        <v>384</v>
      </c>
      <c r="BA228" t="s">
        <v>385</v>
      </c>
      <c r="BB228" t="s">
        <v>384</v>
      </c>
      <c r="BC228" t="s">
        <v>384</v>
      </c>
      <c r="BD228" t="s">
        <v>384</v>
      </c>
      <c r="BH228" t="s">
        <v>662</v>
      </c>
      <c r="BI228" t="s">
        <v>833</v>
      </c>
    </row>
    <row r="229" spans="1:61" x14ac:dyDescent="0.2">
      <c r="A229">
        <v>0</v>
      </c>
      <c r="B229">
        <v>946</v>
      </c>
      <c r="D229" t="s">
        <v>348</v>
      </c>
      <c r="E229" t="s">
        <v>418</v>
      </c>
      <c r="F229" t="s">
        <v>419</v>
      </c>
      <c r="G229" t="s">
        <v>378</v>
      </c>
      <c r="J229" t="s">
        <v>87</v>
      </c>
      <c r="K229" s="21">
        <v>46286</v>
      </c>
      <c r="L229" s="21">
        <v>46286</v>
      </c>
      <c r="P229" t="s">
        <v>379</v>
      </c>
      <c r="Q229" t="s">
        <v>379</v>
      </c>
      <c r="T229">
        <v>5736</v>
      </c>
      <c r="U229" t="s">
        <v>381</v>
      </c>
      <c r="AA229" t="s">
        <v>5</v>
      </c>
      <c r="AC229">
        <v>946</v>
      </c>
      <c r="AD229">
        <v>46221</v>
      </c>
      <c r="AE229">
        <v>46161</v>
      </c>
      <c r="AF229">
        <v>102</v>
      </c>
      <c r="AG229">
        <v>102</v>
      </c>
      <c r="AH229" t="s">
        <v>519</v>
      </c>
      <c r="AI229" t="b">
        <v>0</v>
      </c>
      <c r="AJ229" t="s">
        <v>834</v>
      </c>
      <c r="AK229" t="s">
        <v>384</v>
      </c>
      <c r="AL229" t="s">
        <v>385</v>
      </c>
      <c r="AM229" t="s">
        <v>385</v>
      </c>
      <c r="AN229" t="s">
        <v>384</v>
      </c>
      <c r="AO229" t="s">
        <v>384</v>
      </c>
      <c r="AP229" t="s">
        <v>384</v>
      </c>
      <c r="AQ229" t="s">
        <v>384</v>
      </c>
      <c r="AR229" t="s">
        <v>384</v>
      </c>
      <c r="AS229" t="s">
        <v>384</v>
      </c>
      <c r="AT229" t="s">
        <v>384</v>
      </c>
      <c r="AU229" t="s">
        <v>384</v>
      </c>
      <c r="AV229" t="s">
        <v>384</v>
      </c>
      <c r="AW229" t="s">
        <v>384</v>
      </c>
      <c r="AX229" t="s">
        <v>385</v>
      </c>
      <c r="AY229" t="s">
        <v>384</v>
      </c>
      <c r="AZ229" t="s">
        <v>384</v>
      </c>
      <c r="BA229" t="s">
        <v>385</v>
      </c>
      <c r="BB229" t="s">
        <v>384</v>
      </c>
      <c r="BC229" t="s">
        <v>384</v>
      </c>
      <c r="BD229" t="s">
        <v>384</v>
      </c>
      <c r="BI229" t="s">
        <v>418</v>
      </c>
    </row>
    <row r="230" spans="1:61" x14ac:dyDescent="0.2">
      <c r="A230">
        <v>0</v>
      </c>
      <c r="B230">
        <v>1175</v>
      </c>
      <c r="D230" t="s">
        <v>348</v>
      </c>
      <c r="E230" t="s">
        <v>835</v>
      </c>
      <c r="G230" t="s">
        <v>696</v>
      </c>
      <c r="I230" t="s">
        <v>658</v>
      </c>
      <c r="J230" t="s">
        <v>697</v>
      </c>
      <c r="K230" s="21">
        <v>46287</v>
      </c>
      <c r="L230" s="21">
        <v>46287</v>
      </c>
      <c r="P230" t="s">
        <v>379</v>
      </c>
      <c r="Q230" t="s">
        <v>379</v>
      </c>
      <c r="U230" t="s">
        <v>381</v>
      </c>
      <c r="X230">
        <v>12</v>
      </c>
      <c r="Y230" t="b">
        <v>1</v>
      </c>
      <c r="AA230" t="s">
        <v>6</v>
      </c>
      <c r="AC230">
        <v>1175</v>
      </c>
      <c r="AD230">
        <v>46219</v>
      </c>
      <c r="AE230">
        <v>46219</v>
      </c>
      <c r="AF230">
        <v>102</v>
      </c>
      <c r="AG230">
        <v>102</v>
      </c>
      <c r="AH230" t="s">
        <v>660</v>
      </c>
      <c r="AI230" t="b">
        <v>0</v>
      </c>
      <c r="AJ230" t="s">
        <v>836</v>
      </c>
      <c r="AK230" t="s">
        <v>384</v>
      </c>
      <c r="AL230" t="s">
        <v>385</v>
      </c>
      <c r="AM230" t="s">
        <v>385</v>
      </c>
      <c r="AN230" t="s">
        <v>384</v>
      </c>
      <c r="AO230" t="s">
        <v>384</v>
      </c>
      <c r="AP230" t="s">
        <v>384</v>
      </c>
      <c r="AQ230" t="s">
        <v>384</v>
      </c>
      <c r="AR230" t="s">
        <v>384</v>
      </c>
      <c r="AS230" t="s">
        <v>384</v>
      </c>
      <c r="AT230" t="s">
        <v>384</v>
      </c>
      <c r="AU230" t="s">
        <v>384</v>
      </c>
      <c r="AV230" t="s">
        <v>384</v>
      </c>
      <c r="AW230" t="s">
        <v>384</v>
      </c>
      <c r="AX230" t="s">
        <v>385</v>
      </c>
      <c r="AY230" t="s">
        <v>384</v>
      </c>
      <c r="AZ230" t="s">
        <v>384</v>
      </c>
      <c r="BA230" t="s">
        <v>385</v>
      </c>
      <c r="BB230" t="s">
        <v>384</v>
      </c>
      <c r="BC230" t="s">
        <v>384</v>
      </c>
      <c r="BD230" t="s">
        <v>384</v>
      </c>
      <c r="BH230" t="s">
        <v>662</v>
      </c>
      <c r="BI230" t="s">
        <v>837</v>
      </c>
    </row>
    <row r="231" spans="1:61" x14ac:dyDescent="0.2">
      <c r="A231">
        <v>0</v>
      </c>
      <c r="B231">
        <v>1173</v>
      </c>
      <c r="D231" t="s">
        <v>348</v>
      </c>
      <c r="E231" t="s">
        <v>838</v>
      </c>
      <c r="G231" t="s">
        <v>696</v>
      </c>
      <c r="I231" t="s">
        <v>658</v>
      </c>
      <c r="J231" t="s">
        <v>697</v>
      </c>
      <c r="K231" s="21">
        <v>46287</v>
      </c>
      <c r="L231" s="21">
        <v>46287</v>
      </c>
      <c r="P231" t="s">
        <v>379</v>
      </c>
      <c r="Q231" t="s">
        <v>379</v>
      </c>
      <c r="U231" t="s">
        <v>381</v>
      </c>
      <c r="X231">
        <v>12</v>
      </c>
      <c r="Y231" t="b">
        <v>1</v>
      </c>
      <c r="AA231" t="s">
        <v>7</v>
      </c>
      <c r="AC231">
        <v>1173</v>
      </c>
      <c r="AD231">
        <v>46219</v>
      </c>
      <c r="AE231">
        <v>46219</v>
      </c>
      <c r="AF231">
        <v>102</v>
      </c>
      <c r="AG231">
        <v>102</v>
      </c>
      <c r="AH231" t="s">
        <v>660</v>
      </c>
      <c r="AI231" t="b">
        <v>0</v>
      </c>
      <c r="AJ231" t="s">
        <v>839</v>
      </c>
      <c r="AK231" t="s">
        <v>384</v>
      </c>
      <c r="AL231" t="s">
        <v>385</v>
      </c>
      <c r="AM231" t="s">
        <v>385</v>
      </c>
      <c r="AN231" t="s">
        <v>384</v>
      </c>
      <c r="AO231" t="s">
        <v>384</v>
      </c>
      <c r="AP231" t="s">
        <v>384</v>
      </c>
      <c r="AQ231" t="s">
        <v>384</v>
      </c>
      <c r="AR231" t="s">
        <v>384</v>
      </c>
      <c r="AS231" t="s">
        <v>384</v>
      </c>
      <c r="AT231" t="s">
        <v>384</v>
      </c>
      <c r="AU231" t="s">
        <v>384</v>
      </c>
      <c r="AV231" t="s">
        <v>384</v>
      </c>
      <c r="AW231" t="s">
        <v>384</v>
      </c>
      <c r="AX231" t="s">
        <v>385</v>
      </c>
      <c r="AY231" t="s">
        <v>384</v>
      </c>
      <c r="AZ231" t="s">
        <v>384</v>
      </c>
      <c r="BA231" t="s">
        <v>385</v>
      </c>
      <c r="BB231" t="s">
        <v>384</v>
      </c>
      <c r="BC231" t="s">
        <v>384</v>
      </c>
      <c r="BD231" t="s">
        <v>384</v>
      </c>
      <c r="BH231" t="s">
        <v>662</v>
      </c>
      <c r="BI231" t="s">
        <v>840</v>
      </c>
    </row>
    <row r="232" spans="1:61" x14ac:dyDescent="0.2">
      <c r="A232">
        <v>0</v>
      </c>
      <c r="B232">
        <v>1174</v>
      </c>
      <c r="D232" t="s">
        <v>348</v>
      </c>
      <c r="E232" t="s">
        <v>841</v>
      </c>
      <c r="G232" t="s">
        <v>696</v>
      </c>
      <c r="I232" t="s">
        <v>658</v>
      </c>
      <c r="J232" t="s">
        <v>697</v>
      </c>
      <c r="K232" s="21">
        <v>46287</v>
      </c>
      <c r="L232" s="21">
        <v>46287</v>
      </c>
      <c r="P232" t="s">
        <v>379</v>
      </c>
      <c r="Q232" t="s">
        <v>379</v>
      </c>
      <c r="U232" t="s">
        <v>381</v>
      </c>
      <c r="X232">
        <v>12</v>
      </c>
      <c r="Y232" t="b">
        <v>1</v>
      </c>
      <c r="AA232" t="s">
        <v>7</v>
      </c>
      <c r="AC232">
        <v>1174</v>
      </c>
      <c r="AD232">
        <v>46219</v>
      </c>
      <c r="AE232">
        <v>46219</v>
      </c>
      <c r="AF232">
        <v>102</v>
      </c>
      <c r="AG232">
        <v>102</v>
      </c>
      <c r="AH232" t="s">
        <v>660</v>
      </c>
      <c r="AI232" t="b">
        <v>0</v>
      </c>
      <c r="AJ232" t="s">
        <v>842</v>
      </c>
      <c r="AK232" t="s">
        <v>384</v>
      </c>
      <c r="AL232" t="s">
        <v>385</v>
      </c>
      <c r="AM232" t="s">
        <v>385</v>
      </c>
      <c r="AN232" t="s">
        <v>384</v>
      </c>
      <c r="AO232" t="s">
        <v>384</v>
      </c>
      <c r="AP232" t="s">
        <v>384</v>
      </c>
      <c r="AQ232" t="s">
        <v>384</v>
      </c>
      <c r="AR232" t="s">
        <v>384</v>
      </c>
      <c r="AS232" t="s">
        <v>384</v>
      </c>
      <c r="AT232" t="s">
        <v>384</v>
      </c>
      <c r="AU232" t="s">
        <v>384</v>
      </c>
      <c r="AV232" t="s">
        <v>384</v>
      </c>
      <c r="AW232" t="s">
        <v>384</v>
      </c>
      <c r="AX232" t="s">
        <v>385</v>
      </c>
      <c r="AY232" t="s">
        <v>384</v>
      </c>
      <c r="AZ232" t="s">
        <v>384</v>
      </c>
      <c r="BA232" t="s">
        <v>385</v>
      </c>
      <c r="BB232" t="s">
        <v>384</v>
      </c>
      <c r="BC232" t="s">
        <v>384</v>
      </c>
      <c r="BD232" t="s">
        <v>384</v>
      </c>
      <c r="BH232" t="s">
        <v>662</v>
      </c>
      <c r="BI232" t="s">
        <v>843</v>
      </c>
    </row>
    <row r="233" spans="1:61" x14ac:dyDescent="0.2">
      <c r="A233">
        <v>0</v>
      </c>
      <c r="B233">
        <v>1004</v>
      </c>
      <c r="D233" t="s">
        <v>348</v>
      </c>
      <c r="E233" t="s">
        <v>844</v>
      </c>
      <c r="F233" t="s">
        <v>845</v>
      </c>
      <c r="G233" t="s">
        <v>378</v>
      </c>
      <c r="J233" t="s">
        <v>87</v>
      </c>
      <c r="K233" s="21">
        <v>46289</v>
      </c>
      <c r="L233" s="21">
        <v>46291</v>
      </c>
      <c r="P233" t="s">
        <v>379</v>
      </c>
      <c r="Q233" t="s">
        <v>379</v>
      </c>
      <c r="T233">
        <v>6410</v>
      </c>
      <c r="U233" t="s">
        <v>381</v>
      </c>
      <c r="AA233" t="s">
        <v>5</v>
      </c>
      <c r="AC233">
        <v>1004</v>
      </c>
      <c r="AD233">
        <v>46221</v>
      </c>
      <c r="AE233">
        <v>46161</v>
      </c>
      <c r="AF233">
        <v>102</v>
      </c>
      <c r="AG233">
        <v>102</v>
      </c>
      <c r="AH233" t="s">
        <v>519</v>
      </c>
      <c r="AI233" t="b">
        <v>0</v>
      </c>
      <c r="AJ233" t="s">
        <v>846</v>
      </c>
      <c r="AK233" t="s">
        <v>384</v>
      </c>
      <c r="AL233" t="s">
        <v>385</v>
      </c>
      <c r="AM233" t="s">
        <v>385</v>
      </c>
      <c r="AN233" t="s">
        <v>384</v>
      </c>
      <c r="AO233" t="s">
        <v>384</v>
      </c>
      <c r="AP233" t="s">
        <v>384</v>
      </c>
      <c r="AQ233" t="s">
        <v>384</v>
      </c>
      <c r="AR233" t="s">
        <v>384</v>
      </c>
      <c r="AS233" t="s">
        <v>384</v>
      </c>
      <c r="AT233" t="s">
        <v>384</v>
      </c>
      <c r="AU233" t="s">
        <v>384</v>
      </c>
      <c r="AV233" t="s">
        <v>384</v>
      </c>
      <c r="AW233" t="s">
        <v>384</v>
      </c>
      <c r="AX233" t="s">
        <v>385</v>
      </c>
      <c r="AY233" t="s">
        <v>384</v>
      </c>
      <c r="AZ233" t="s">
        <v>384</v>
      </c>
      <c r="BA233" t="s">
        <v>385</v>
      </c>
      <c r="BB233" t="s">
        <v>384</v>
      </c>
      <c r="BC233" t="s">
        <v>384</v>
      </c>
      <c r="BD233" t="s">
        <v>384</v>
      </c>
      <c r="BI233" t="s">
        <v>844</v>
      </c>
    </row>
    <row r="234" spans="1:61" x14ac:dyDescent="0.2">
      <c r="A234">
        <v>0</v>
      </c>
      <c r="B234">
        <v>1119</v>
      </c>
      <c r="D234" t="s">
        <v>348</v>
      </c>
      <c r="E234" t="s">
        <v>847</v>
      </c>
      <c r="F234" t="s">
        <v>848</v>
      </c>
      <c r="G234" t="s">
        <v>378</v>
      </c>
      <c r="J234" t="s">
        <v>87</v>
      </c>
      <c r="K234" s="21">
        <v>46291</v>
      </c>
      <c r="L234" s="21">
        <v>46297</v>
      </c>
      <c r="P234" t="s">
        <v>379</v>
      </c>
      <c r="Q234" t="s">
        <v>379</v>
      </c>
      <c r="S234" t="s">
        <v>380</v>
      </c>
      <c r="T234">
        <v>7598</v>
      </c>
      <c r="U234" t="s">
        <v>381</v>
      </c>
      <c r="AA234" t="s">
        <v>5</v>
      </c>
      <c r="AC234">
        <v>1119</v>
      </c>
      <c r="AD234">
        <v>46221</v>
      </c>
      <c r="AE234">
        <v>46161</v>
      </c>
      <c r="AF234">
        <v>102</v>
      </c>
      <c r="AG234">
        <v>102</v>
      </c>
      <c r="AH234" t="s">
        <v>519</v>
      </c>
      <c r="AI234" t="b">
        <v>0</v>
      </c>
      <c r="AJ234" t="s">
        <v>849</v>
      </c>
      <c r="AK234" t="s">
        <v>384</v>
      </c>
      <c r="AL234" t="s">
        <v>385</v>
      </c>
      <c r="AM234" t="s">
        <v>385</v>
      </c>
      <c r="AN234" t="s">
        <v>384</v>
      </c>
      <c r="AO234" t="s">
        <v>384</v>
      </c>
      <c r="AP234" t="s">
        <v>384</v>
      </c>
      <c r="AQ234" t="s">
        <v>384</v>
      </c>
      <c r="AR234" t="s">
        <v>384</v>
      </c>
      <c r="AS234" t="s">
        <v>384</v>
      </c>
      <c r="AT234" t="s">
        <v>384</v>
      </c>
      <c r="AU234" t="s">
        <v>384</v>
      </c>
      <c r="AV234" t="s">
        <v>384</v>
      </c>
      <c r="AW234" t="s">
        <v>384</v>
      </c>
      <c r="AX234" t="s">
        <v>385</v>
      </c>
      <c r="AY234" t="s">
        <v>384</v>
      </c>
      <c r="AZ234" t="s">
        <v>384</v>
      </c>
      <c r="BA234" t="s">
        <v>385</v>
      </c>
      <c r="BB234" t="s">
        <v>384</v>
      </c>
      <c r="BC234" t="s">
        <v>384</v>
      </c>
      <c r="BD234" t="s">
        <v>384</v>
      </c>
      <c r="BI234" t="s">
        <v>847</v>
      </c>
    </row>
    <row r="235" spans="1:61" x14ac:dyDescent="0.2">
      <c r="A235">
        <v>0</v>
      </c>
      <c r="B235">
        <v>1176</v>
      </c>
      <c r="D235" t="s">
        <v>348</v>
      </c>
      <c r="E235" t="s">
        <v>850</v>
      </c>
      <c r="G235" t="s">
        <v>696</v>
      </c>
      <c r="I235" t="s">
        <v>658</v>
      </c>
      <c r="J235" t="s">
        <v>697</v>
      </c>
      <c r="K235" s="21">
        <v>46294</v>
      </c>
      <c r="L235" s="21">
        <v>46294</v>
      </c>
      <c r="P235" t="s">
        <v>379</v>
      </c>
      <c r="Q235" t="s">
        <v>379</v>
      </c>
      <c r="U235" t="s">
        <v>381</v>
      </c>
      <c r="X235">
        <v>12</v>
      </c>
      <c r="Y235" t="b">
        <v>1</v>
      </c>
      <c r="AA235" t="s">
        <v>7</v>
      </c>
      <c r="AC235">
        <v>1176</v>
      </c>
      <c r="AD235">
        <v>46219</v>
      </c>
      <c r="AE235">
        <v>46219</v>
      </c>
      <c r="AF235">
        <v>102</v>
      </c>
      <c r="AG235">
        <v>102</v>
      </c>
      <c r="AH235" t="s">
        <v>660</v>
      </c>
      <c r="AI235" t="b">
        <v>0</v>
      </c>
      <c r="AJ235" t="s">
        <v>851</v>
      </c>
      <c r="AK235" t="s">
        <v>384</v>
      </c>
      <c r="AL235" t="s">
        <v>385</v>
      </c>
      <c r="AM235" t="s">
        <v>385</v>
      </c>
      <c r="AN235" t="s">
        <v>384</v>
      </c>
      <c r="AO235" t="s">
        <v>384</v>
      </c>
      <c r="AP235" t="s">
        <v>384</v>
      </c>
      <c r="AQ235" t="s">
        <v>384</v>
      </c>
      <c r="AR235" t="s">
        <v>384</v>
      </c>
      <c r="AS235" t="s">
        <v>384</v>
      </c>
      <c r="AT235" t="s">
        <v>384</v>
      </c>
      <c r="AU235" t="s">
        <v>384</v>
      </c>
      <c r="AV235" t="s">
        <v>384</v>
      </c>
      <c r="AW235" t="s">
        <v>384</v>
      </c>
      <c r="AX235" t="s">
        <v>385</v>
      </c>
      <c r="AY235" t="s">
        <v>384</v>
      </c>
      <c r="AZ235" t="s">
        <v>384</v>
      </c>
      <c r="BA235" t="s">
        <v>385</v>
      </c>
      <c r="BB235" t="s">
        <v>384</v>
      </c>
      <c r="BC235" t="s">
        <v>384</v>
      </c>
      <c r="BD235" t="s">
        <v>384</v>
      </c>
      <c r="BH235" t="s">
        <v>662</v>
      </c>
      <c r="BI235" t="s">
        <v>852</v>
      </c>
    </row>
    <row r="236" spans="1:61" x14ac:dyDescent="0.2">
      <c r="A236">
        <v>0</v>
      </c>
      <c r="B236">
        <v>1178</v>
      </c>
      <c r="D236" t="s">
        <v>348</v>
      </c>
      <c r="E236" t="s">
        <v>853</v>
      </c>
      <c r="G236" t="s">
        <v>696</v>
      </c>
      <c r="I236" t="s">
        <v>658</v>
      </c>
      <c r="J236" t="s">
        <v>697</v>
      </c>
      <c r="K236" s="21">
        <v>46295</v>
      </c>
      <c r="L236" s="21">
        <v>46324</v>
      </c>
      <c r="P236" t="s">
        <v>379</v>
      </c>
      <c r="Q236" t="s">
        <v>379</v>
      </c>
      <c r="U236" t="s">
        <v>381</v>
      </c>
      <c r="X236">
        <v>12</v>
      </c>
      <c r="Y236" t="b">
        <v>1</v>
      </c>
      <c r="AA236" t="s">
        <v>7</v>
      </c>
      <c r="AC236">
        <v>1178</v>
      </c>
      <c r="AD236">
        <v>46219</v>
      </c>
      <c r="AE236">
        <v>46219</v>
      </c>
      <c r="AF236">
        <v>102</v>
      </c>
      <c r="AG236">
        <v>102</v>
      </c>
      <c r="AH236" t="s">
        <v>660</v>
      </c>
      <c r="AI236" t="b">
        <v>0</v>
      </c>
      <c r="AJ236" t="s">
        <v>854</v>
      </c>
      <c r="AK236" t="s">
        <v>384</v>
      </c>
      <c r="AL236" t="s">
        <v>385</v>
      </c>
      <c r="AM236" t="s">
        <v>385</v>
      </c>
      <c r="AN236" t="s">
        <v>384</v>
      </c>
      <c r="AO236" t="s">
        <v>384</v>
      </c>
      <c r="AP236" t="s">
        <v>384</v>
      </c>
      <c r="AQ236" t="s">
        <v>384</v>
      </c>
      <c r="AR236" t="s">
        <v>384</v>
      </c>
      <c r="AS236" t="s">
        <v>384</v>
      </c>
      <c r="AT236" t="s">
        <v>384</v>
      </c>
      <c r="AU236" t="s">
        <v>384</v>
      </c>
      <c r="AV236" t="s">
        <v>384</v>
      </c>
      <c r="AW236" t="s">
        <v>384</v>
      </c>
      <c r="AX236" t="s">
        <v>385</v>
      </c>
      <c r="AY236" t="s">
        <v>384</v>
      </c>
      <c r="AZ236" t="s">
        <v>384</v>
      </c>
      <c r="BA236" t="s">
        <v>385</v>
      </c>
      <c r="BB236" t="s">
        <v>384</v>
      </c>
      <c r="BC236" t="s">
        <v>384</v>
      </c>
      <c r="BD236" t="s">
        <v>384</v>
      </c>
      <c r="BH236" t="s">
        <v>662</v>
      </c>
      <c r="BI236" t="s">
        <v>855</v>
      </c>
    </row>
    <row r="237" spans="1:61" x14ac:dyDescent="0.2">
      <c r="A237">
        <v>0</v>
      </c>
      <c r="B237">
        <v>1177</v>
      </c>
      <c r="D237" t="s">
        <v>348</v>
      </c>
      <c r="E237" t="s">
        <v>856</v>
      </c>
      <c r="F237" t="s">
        <v>857</v>
      </c>
      <c r="G237" t="s">
        <v>696</v>
      </c>
      <c r="I237" t="s">
        <v>658</v>
      </c>
      <c r="J237" t="s">
        <v>697</v>
      </c>
      <c r="K237" s="21">
        <v>46295</v>
      </c>
      <c r="L237" s="21">
        <v>46310</v>
      </c>
      <c r="P237" t="s">
        <v>379</v>
      </c>
      <c r="Q237" t="s">
        <v>379</v>
      </c>
      <c r="U237" t="s">
        <v>381</v>
      </c>
      <c r="X237">
        <v>12</v>
      </c>
      <c r="Y237" t="b">
        <v>1</v>
      </c>
      <c r="AA237" t="s">
        <v>4</v>
      </c>
      <c r="AC237">
        <v>1177</v>
      </c>
      <c r="AD237">
        <v>46219</v>
      </c>
      <c r="AE237">
        <v>46219</v>
      </c>
      <c r="AF237">
        <v>102</v>
      </c>
      <c r="AG237">
        <v>102</v>
      </c>
      <c r="AH237" t="s">
        <v>660</v>
      </c>
      <c r="AI237" t="b">
        <v>0</v>
      </c>
      <c r="AJ237" t="s">
        <v>858</v>
      </c>
      <c r="AK237" t="s">
        <v>384</v>
      </c>
      <c r="AL237" t="s">
        <v>385</v>
      </c>
      <c r="AM237" t="s">
        <v>385</v>
      </c>
      <c r="AN237" t="s">
        <v>384</v>
      </c>
      <c r="AO237" t="s">
        <v>384</v>
      </c>
      <c r="AP237" t="s">
        <v>384</v>
      </c>
      <c r="AQ237" t="s">
        <v>384</v>
      </c>
      <c r="AR237" t="s">
        <v>384</v>
      </c>
      <c r="AS237" t="s">
        <v>384</v>
      </c>
      <c r="AT237" t="s">
        <v>384</v>
      </c>
      <c r="AU237" t="s">
        <v>384</v>
      </c>
      <c r="AV237" t="s">
        <v>384</v>
      </c>
      <c r="AW237" t="s">
        <v>384</v>
      </c>
      <c r="AX237" t="s">
        <v>385</v>
      </c>
      <c r="AY237" t="s">
        <v>384</v>
      </c>
      <c r="AZ237" t="s">
        <v>384</v>
      </c>
      <c r="BA237" t="s">
        <v>385</v>
      </c>
      <c r="BB237" t="s">
        <v>384</v>
      </c>
      <c r="BC237" t="s">
        <v>384</v>
      </c>
      <c r="BD237" t="s">
        <v>384</v>
      </c>
      <c r="BH237" t="s">
        <v>662</v>
      </c>
      <c r="BI237" t="s">
        <v>859</v>
      </c>
    </row>
    <row r="238" spans="1:61" x14ac:dyDescent="0.2">
      <c r="A238">
        <v>0</v>
      </c>
      <c r="B238">
        <v>1121</v>
      </c>
      <c r="D238" t="s">
        <v>348</v>
      </c>
      <c r="E238" t="s">
        <v>431</v>
      </c>
      <c r="F238" t="s">
        <v>432</v>
      </c>
      <c r="G238" t="s">
        <v>378</v>
      </c>
      <c r="J238" t="s">
        <v>87</v>
      </c>
      <c r="K238" s="21">
        <v>46296</v>
      </c>
      <c r="L238" s="21">
        <v>46298</v>
      </c>
      <c r="P238" t="s">
        <v>379</v>
      </c>
      <c r="Q238" t="s">
        <v>379</v>
      </c>
      <c r="S238" t="s">
        <v>380</v>
      </c>
      <c r="T238">
        <v>7600</v>
      </c>
      <c r="U238" t="s">
        <v>381</v>
      </c>
      <c r="AA238" t="s">
        <v>5</v>
      </c>
      <c r="AC238">
        <v>1121</v>
      </c>
      <c r="AD238">
        <v>46221</v>
      </c>
      <c r="AE238">
        <v>46161</v>
      </c>
      <c r="AF238">
        <v>102</v>
      </c>
      <c r="AG238">
        <v>102</v>
      </c>
      <c r="AH238" t="s">
        <v>519</v>
      </c>
      <c r="AI238" t="b">
        <v>0</v>
      </c>
      <c r="AJ238" t="s">
        <v>860</v>
      </c>
      <c r="AK238" t="s">
        <v>384</v>
      </c>
      <c r="AL238" t="s">
        <v>385</v>
      </c>
      <c r="AM238" t="s">
        <v>385</v>
      </c>
      <c r="AN238" t="s">
        <v>384</v>
      </c>
      <c r="AO238" t="s">
        <v>384</v>
      </c>
      <c r="AP238" t="s">
        <v>384</v>
      </c>
      <c r="AQ238" t="s">
        <v>384</v>
      </c>
      <c r="AR238" t="s">
        <v>384</v>
      </c>
      <c r="AS238" t="s">
        <v>384</v>
      </c>
      <c r="AT238" t="s">
        <v>384</v>
      </c>
      <c r="AU238" t="s">
        <v>384</v>
      </c>
      <c r="AV238" t="s">
        <v>384</v>
      </c>
      <c r="AW238" t="s">
        <v>384</v>
      </c>
      <c r="AX238" t="s">
        <v>385</v>
      </c>
      <c r="AY238" t="s">
        <v>384</v>
      </c>
      <c r="AZ238" t="s">
        <v>384</v>
      </c>
      <c r="BA238" t="s">
        <v>385</v>
      </c>
      <c r="BB238" t="s">
        <v>384</v>
      </c>
      <c r="BC238" t="s">
        <v>384</v>
      </c>
      <c r="BD238" t="s">
        <v>384</v>
      </c>
      <c r="BI238" t="s">
        <v>431</v>
      </c>
    </row>
    <row r="239" spans="1:61" x14ac:dyDescent="0.2">
      <c r="A239">
        <v>0</v>
      </c>
      <c r="B239">
        <v>1122</v>
      </c>
      <c r="D239" t="s">
        <v>348</v>
      </c>
      <c r="E239" t="s">
        <v>389</v>
      </c>
      <c r="F239" t="s">
        <v>434</v>
      </c>
      <c r="G239" t="s">
        <v>378</v>
      </c>
      <c r="J239" t="s">
        <v>87</v>
      </c>
      <c r="K239" s="21">
        <v>46296</v>
      </c>
      <c r="L239" s="21">
        <v>46298</v>
      </c>
      <c r="P239" t="s">
        <v>379</v>
      </c>
      <c r="Q239" t="s">
        <v>379</v>
      </c>
      <c r="S239" t="s">
        <v>380</v>
      </c>
      <c r="T239">
        <v>7601</v>
      </c>
      <c r="U239" t="s">
        <v>381</v>
      </c>
      <c r="AA239" t="s">
        <v>5</v>
      </c>
      <c r="AC239">
        <v>1122</v>
      </c>
      <c r="AD239">
        <v>46221</v>
      </c>
      <c r="AE239">
        <v>46161</v>
      </c>
      <c r="AF239">
        <v>102</v>
      </c>
      <c r="AG239">
        <v>102</v>
      </c>
      <c r="AH239" t="s">
        <v>519</v>
      </c>
      <c r="AI239" t="b">
        <v>0</v>
      </c>
      <c r="AJ239" t="s">
        <v>861</v>
      </c>
      <c r="AK239" t="s">
        <v>384</v>
      </c>
      <c r="AL239" t="s">
        <v>385</v>
      </c>
      <c r="AM239" t="s">
        <v>385</v>
      </c>
      <c r="AN239" t="s">
        <v>384</v>
      </c>
      <c r="AO239" t="s">
        <v>384</v>
      </c>
      <c r="AP239" t="s">
        <v>384</v>
      </c>
      <c r="AQ239" t="s">
        <v>384</v>
      </c>
      <c r="AR239" t="s">
        <v>384</v>
      </c>
      <c r="AS239" t="s">
        <v>384</v>
      </c>
      <c r="AT239" t="s">
        <v>384</v>
      </c>
      <c r="AU239" t="s">
        <v>384</v>
      </c>
      <c r="AV239" t="s">
        <v>384</v>
      </c>
      <c r="AW239" t="s">
        <v>384</v>
      </c>
      <c r="AX239" t="s">
        <v>385</v>
      </c>
      <c r="AY239" t="s">
        <v>384</v>
      </c>
      <c r="AZ239" t="s">
        <v>384</v>
      </c>
      <c r="BA239" t="s">
        <v>385</v>
      </c>
      <c r="BB239" t="s">
        <v>384</v>
      </c>
      <c r="BC239" t="s">
        <v>384</v>
      </c>
      <c r="BD239" t="s">
        <v>384</v>
      </c>
      <c r="BI239" t="s">
        <v>389</v>
      </c>
    </row>
    <row r="240" spans="1:61" x14ac:dyDescent="0.2">
      <c r="A240">
        <v>0</v>
      </c>
      <c r="B240">
        <v>1036</v>
      </c>
      <c r="D240" t="s">
        <v>348</v>
      </c>
      <c r="E240" t="s">
        <v>548</v>
      </c>
      <c r="F240" t="s">
        <v>549</v>
      </c>
      <c r="G240" t="s">
        <v>378</v>
      </c>
      <c r="J240" t="s">
        <v>87</v>
      </c>
      <c r="K240" s="21">
        <v>46298</v>
      </c>
      <c r="L240" s="21">
        <v>46359</v>
      </c>
      <c r="P240" t="s">
        <v>379</v>
      </c>
      <c r="Q240" t="s">
        <v>379</v>
      </c>
      <c r="S240" t="s">
        <v>380</v>
      </c>
      <c r="T240">
        <v>7366</v>
      </c>
      <c r="U240" t="s">
        <v>381</v>
      </c>
      <c r="AA240" t="s">
        <v>5</v>
      </c>
      <c r="AC240">
        <v>1036</v>
      </c>
      <c r="AD240">
        <v>46221</v>
      </c>
      <c r="AE240">
        <v>46161</v>
      </c>
      <c r="AF240">
        <v>102</v>
      </c>
      <c r="AG240">
        <v>102</v>
      </c>
      <c r="AH240" t="s">
        <v>519</v>
      </c>
      <c r="AI240" t="b">
        <v>0</v>
      </c>
      <c r="AJ240" t="s">
        <v>862</v>
      </c>
      <c r="AK240" t="s">
        <v>384</v>
      </c>
      <c r="AL240" t="s">
        <v>385</v>
      </c>
      <c r="AM240" t="s">
        <v>385</v>
      </c>
      <c r="AN240" t="s">
        <v>384</v>
      </c>
      <c r="AO240" t="s">
        <v>384</v>
      </c>
      <c r="AP240" t="s">
        <v>384</v>
      </c>
      <c r="AQ240" t="s">
        <v>384</v>
      </c>
      <c r="AR240" t="s">
        <v>384</v>
      </c>
      <c r="AS240" t="s">
        <v>384</v>
      </c>
      <c r="AT240" t="s">
        <v>384</v>
      </c>
      <c r="AU240" t="s">
        <v>384</v>
      </c>
      <c r="AV240" t="s">
        <v>384</v>
      </c>
      <c r="AW240" t="s">
        <v>384</v>
      </c>
      <c r="AX240" t="s">
        <v>385</v>
      </c>
      <c r="AY240" t="s">
        <v>384</v>
      </c>
      <c r="AZ240" t="s">
        <v>384</v>
      </c>
      <c r="BA240" t="s">
        <v>385</v>
      </c>
      <c r="BB240" t="s">
        <v>384</v>
      </c>
      <c r="BC240" t="s">
        <v>384</v>
      </c>
      <c r="BD240" t="s">
        <v>384</v>
      </c>
      <c r="BI240" t="s">
        <v>548</v>
      </c>
    </row>
    <row r="241" spans="1:61" x14ac:dyDescent="0.2">
      <c r="A241">
        <v>0</v>
      </c>
      <c r="B241">
        <v>1179</v>
      </c>
      <c r="D241" t="s">
        <v>348</v>
      </c>
      <c r="E241" t="s">
        <v>863</v>
      </c>
      <c r="G241" t="s">
        <v>696</v>
      </c>
      <c r="I241" t="s">
        <v>658</v>
      </c>
      <c r="J241" t="s">
        <v>697</v>
      </c>
      <c r="K241" s="21">
        <v>46299</v>
      </c>
      <c r="L241" s="21">
        <v>46299</v>
      </c>
      <c r="P241" t="s">
        <v>379</v>
      </c>
      <c r="Q241" t="s">
        <v>379</v>
      </c>
      <c r="U241" t="s">
        <v>381</v>
      </c>
      <c r="X241">
        <v>12</v>
      </c>
      <c r="Y241" t="b">
        <v>1</v>
      </c>
      <c r="AA241" t="s">
        <v>4</v>
      </c>
      <c r="AC241">
        <v>1179</v>
      </c>
      <c r="AD241">
        <v>46219</v>
      </c>
      <c r="AE241">
        <v>46219</v>
      </c>
      <c r="AF241">
        <v>102</v>
      </c>
      <c r="AG241">
        <v>102</v>
      </c>
      <c r="AH241" t="s">
        <v>660</v>
      </c>
      <c r="AI241" t="b">
        <v>0</v>
      </c>
      <c r="AJ241" t="s">
        <v>864</v>
      </c>
      <c r="AK241" t="s">
        <v>384</v>
      </c>
      <c r="AL241" t="s">
        <v>385</v>
      </c>
      <c r="AM241" t="s">
        <v>385</v>
      </c>
      <c r="AN241" t="s">
        <v>384</v>
      </c>
      <c r="AO241" t="s">
        <v>384</v>
      </c>
      <c r="AP241" t="s">
        <v>384</v>
      </c>
      <c r="AQ241" t="s">
        <v>384</v>
      </c>
      <c r="AR241" t="s">
        <v>384</v>
      </c>
      <c r="AS241" t="s">
        <v>384</v>
      </c>
      <c r="AT241" t="s">
        <v>384</v>
      </c>
      <c r="AU241" t="s">
        <v>384</v>
      </c>
      <c r="AV241" t="s">
        <v>384</v>
      </c>
      <c r="AW241" t="s">
        <v>384</v>
      </c>
      <c r="AX241" t="s">
        <v>385</v>
      </c>
      <c r="AY241" t="s">
        <v>384</v>
      </c>
      <c r="AZ241" t="s">
        <v>384</v>
      </c>
      <c r="BA241" t="s">
        <v>385</v>
      </c>
      <c r="BB241" t="s">
        <v>384</v>
      </c>
      <c r="BC241" t="s">
        <v>384</v>
      </c>
      <c r="BD241" t="s">
        <v>384</v>
      </c>
      <c r="BH241" t="s">
        <v>662</v>
      </c>
      <c r="BI241" t="s">
        <v>865</v>
      </c>
    </row>
    <row r="242" spans="1:61" x14ac:dyDescent="0.2">
      <c r="A242">
        <v>0</v>
      </c>
      <c r="B242">
        <v>922</v>
      </c>
      <c r="D242" t="s">
        <v>348</v>
      </c>
      <c r="E242" t="s">
        <v>866</v>
      </c>
      <c r="F242" t="s">
        <v>416</v>
      </c>
      <c r="G242" t="s">
        <v>378</v>
      </c>
      <c r="J242" t="s">
        <v>87</v>
      </c>
      <c r="K242" s="21">
        <v>46299</v>
      </c>
      <c r="L242" s="21">
        <v>46299</v>
      </c>
      <c r="P242" t="s">
        <v>379</v>
      </c>
      <c r="Q242" t="s">
        <v>379</v>
      </c>
      <c r="T242">
        <v>5711</v>
      </c>
      <c r="U242" t="s">
        <v>381</v>
      </c>
      <c r="Y242" t="b">
        <v>1</v>
      </c>
      <c r="AA242" t="s">
        <v>94</v>
      </c>
      <c r="AC242">
        <v>922</v>
      </c>
      <c r="AD242">
        <v>46225</v>
      </c>
      <c r="AE242">
        <v>46161</v>
      </c>
      <c r="AF242">
        <v>102</v>
      </c>
      <c r="AG242">
        <v>102</v>
      </c>
      <c r="AH242" t="s">
        <v>414</v>
      </c>
      <c r="AI242" t="b">
        <v>0</v>
      </c>
      <c r="AJ242" t="s">
        <v>867</v>
      </c>
      <c r="AK242" t="s">
        <v>384</v>
      </c>
      <c r="AL242" t="s">
        <v>385</v>
      </c>
      <c r="AM242" t="s">
        <v>385</v>
      </c>
      <c r="AN242" t="s">
        <v>384</v>
      </c>
      <c r="AO242" t="s">
        <v>384</v>
      </c>
      <c r="AP242" t="s">
        <v>384</v>
      </c>
      <c r="AQ242" t="s">
        <v>384</v>
      </c>
      <c r="AR242" t="s">
        <v>384</v>
      </c>
      <c r="AS242" t="s">
        <v>384</v>
      </c>
      <c r="AT242" t="s">
        <v>384</v>
      </c>
      <c r="AU242" t="s">
        <v>384</v>
      </c>
      <c r="AV242" t="s">
        <v>384</v>
      </c>
      <c r="AW242" t="s">
        <v>384</v>
      </c>
      <c r="AX242" t="s">
        <v>385</v>
      </c>
      <c r="AY242" t="s">
        <v>384</v>
      </c>
      <c r="AZ242" t="s">
        <v>384</v>
      </c>
      <c r="BA242" t="s">
        <v>385</v>
      </c>
      <c r="BB242" t="s">
        <v>384</v>
      </c>
      <c r="BC242" t="s">
        <v>384</v>
      </c>
      <c r="BD242" t="s">
        <v>384</v>
      </c>
      <c r="BI242" t="s">
        <v>866</v>
      </c>
    </row>
    <row r="243" spans="1:61" x14ac:dyDescent="0.2">
      <c r="A243">
        <v>0</v>
      </c>
      <c r="B243">
        <v>1045</v>
      </c>
      <c r="D243" t="s">
        <v>348</v>
      </c>
      <c r="E243" t="s">
        <v>431</v>
      </c>
      <c r="F243" t="s">
        <v>669</v>
      </c>
      <c r="G243" t="s">
        <v>378</v>
      </c>
      <c r="J243" t="s">
        <v>87</v>
      </c>
      <c r="K243" s="21">
        <v>46301</v>
      </c>
      <c r="L243" s="21">
        <v>46362</v>
      </c>
      <c r="P243" t="s">
        <v>379</v>
      </c>
      <c r="Q243" t="s">
        <v>379</v>
      </c>
      <c r="S243" t="s">
        <v>380</v>
      </c>
      <c r="T243">
        <v>7380</v>
      </c>
      <c r="U243" t="s">
        <v>381</v>
      </c>
      <c r="AA243" t="s">
        <v>5</v>
      </c>
      <c r="AC243">
        <v>1045</v>
      </c>
      <c r="AD243">
        <v>46221</v>
      </c>
      <c r="AE243">
        <v>46161</v>
      </c>
      <c r="AF243">
        <v>102</v>
      </c>
      <c r="AG243">
        <v>102</v>
      </c>
      <c r="AH243" t="s">
        <v>519</v>
      </c>
      <c r="AI243" t="b">
        <v>0</v>
      </c>
      <c r="AJ243" t="s">
        <v>868</v>
      </c>
      <c r="AK243" t="s">
        <v>384</v>
      </c>
      <c r="AL243" t="s">
        <v>385</v>
      </c>
      <c r="AM243" t="s">
        <v>385</v>
      </c>
      <c r="AN243" t="s">
        <v>384</v>
      </c>
      <c r="AO243" t="s">
        <v>384</v>
      </c>
      <c r="AP243" t="s">
        <v>384</v>
      </c>
      <c r="AQ243" t="s">
        <v>384</v>
      </c>
      <c r="AR243" t="s">
        <v>384</v>
      </c>
      <c r="AS243" t="s">
        <v>384</v>
      </c>
      <c r="AT243" t="s">
        <v>384</v>
      </c>
      <c r="AU243" t="s">
        <v>384</v>
      </c>
      <c r="AV243" t="s">
        <v>384</v>
      </c>
      <c r="AW243" t="s">
        <v>384</v>
      </c>
      <c r="AX243" t="s">
        <v>385</v>
      </c>
      <c r="AY243" t="s">
        <v>384</v>
      </c>
      <c r="AZ243" t="s">
        <v>384</v>
      </c>
      <c r="BA243" t="s">
        <v>385</v>
      </c>
      <c r="BB243" t="s">
        <v>384</v>
      </c>
      <c r="BC243" t="s">
        <v>384</v>
      </c>
      <c r="BD243" t="s">
        <v>384</v>
      </c>
      <c r="BI243" t="s">
        <v>431</v>
      </c>
    </row>
    <row r="244" spans="1:61" x14ac:dyDescent="0.2">
      <c r="A244">
        <v>0</v>
      </c>
      <c r="B244">
        <v>1044</v>
      </c>
      <c r="D244" t="s">
        <v>348</v>
      </c>
      <c r="E244" t="s">
        <v>389</v>
      </c>
      <c r="F244" t="s">
        <v>671</v>
      </c>
      <c r="G244" t="s">
        <v>378</v>
      </c>
      <c r="J244" t="s">
        <v>87</v>
      </c>
      <c r="K244" s="21">
        <v>46301</v>
      </c>
      <c r="L244" s="21">
        <v>46362</v>
      </c>
      <c r="P244" t="s">
        <v>379</v>
      </c>
      <c r="Q244" t="s">
        <v>379</v>
      </c>
      <c r="S244" t="s">
        <v>380</v>
      </c>
      <c r="T244">
        <v>7379</v>
      </c>
      <c r="U244" t="s">
        <v>381</v>
      </c>
      <c r="AA244" t="s">
        <v>5</v>
      </c>
      <c r="AC244">
        <v>1044</v>
      </c>
      <c r="AD244">
        <v>46221</v>
      </c>
      <c r="AE244">
        <v>46161</v>
      </c>
      <c r="AF244">
        <v>102</v>
      </c>
      <c r="AG244">
        <v>102</v>
      </c>
      <c r="AH244" t="s">
        <v>519</v>
      </c>
      <c r="AI244" t="b">
        <v>0</v>
      </c>
      <c r="AJ244" t="s">
        <v>869</v>
      </c>
      <c r="AK244" t="s">
        <v>384</v>
      </c>
      <c r="AL244" t="s">
        <v>385</v>
      </c>
      <c r="AM244" t="s">
        <v>385</v>
      </c>
      <c r="AN244" t="s">
        <v>384</v>
      </c>
      <c r="AO244" t="s">
        <v>384</v>
      </c>
      <c r="AP244" t="s">
        <v>384</v>
      </c>
      <c r="AQ244" t="s">
        <v>384</v>
      </c>
      <c r="AR244" t="s">
        <v>384</v>
      </c>
      <c r="AS244" t="s">
        <v>384</v>
      </c>
      <c r="AT244" t="s">
        <v>384</v>
      </c>
      <c r="AU244" t="s">
        <v>384</v>
      </c>
      <c r="AV244" t="s">
        <v>384</v>
      </c>
      <c r="AW244" t="s">
        <v>384</v>
      </c>
      <c r="AX244" t="s">
        <v>385</v>
      </c>
      <c r="AY244" t="s">
        <v>384</v>
      </c>
      <c r="AZ244" t="s">
        <v>384</v>
      </c>
      <c r="BA244" t="s">
        <v>385</v>
      </c>
      <c r="BB244" t="s">
        <v>384</v>
      </c>
      <c r="BC244" t="s">
        <v>384</v>
      </c>
      <c r="BD244" t="s">
        <v>384</v>
      </c>
      <c r="BI244" t="s">
        <v>389</v>
      </c>
    </row>
    <row r="245" spans="1:61" x14ac:dyDescent="0.2">
      <c r="A245">
        <v>0</v>
      </c>
      <c r="B245">
        <v>1021</v>
      </c>
      <c r="D245" t="s">
        <v>348</v>
      </c>
      <c r="E245" t="s">
        <v>389</v>
      </c>
      <c r="F245" t="s">
        <v>671</v>
      </c>
      <c r="G245" t="s">
        <v>378</v>
      </c>
      <c r="J245" t="s">
        <v>87</v>
      </c>
      <c r="K245" s="21">
        <v>46301</v>
      </c>
      <c r="L245" s="21">
        <v>46362</v>
      </c>
      <c r="P245" t="s">
        <v>379</v>
      </c>
      <c r="Q245" t="s">
        <v>379</v>
      </c>
      <c r="T245">
        <v>7229</v>
      </c>
      <c r="U245" t="s">
        <v>381</v>
      </c>
      <c r="AA245" t="s">
        <v>5</v>
      </c>
      <c r="AC245">
        <v>1021</v>
      </c>
      <c r="AD245">
        <v>46221</v>
      </c>
      <c r="AE245">
        <v>46161</v>
      </c>
      <c r="AF245">
        <v>102</v>
      </c>
      <c r="AG245">
        <v>102</v>
      </c>
      <c r="AH245" t="s">
        <v>519</v>
      </c>
      <c r="AI245" t="b">
        <v>0</v>
      </c>
      <c r="AJ245" t="s">
        <v>870</v>
      </c>
      <c r="AK245" t="s">
        <v>384</v>
      </c>
      <c r="AL245" t="s">
        <v>385</v>
      </c>
      <c r="AM245" t="s">
        <v>385</v>
      </c>
      <c r="AN245" t="s">
        <v>384</v>
      </c>
      <c r="AO245" t="s">
        <v>384</v>
      </c>
      <c r="AP245" t="s">
        <v>384</v>
      </c>
      <c r="AQ245" t="s">
        <v>384</v>
      </c>
      <c r="AR245" t="s">
        <v>384</v>
      </c>
      <c r="AS245" t="s">
        <v>384</v>
      </c>
      <c r="AT245" t="s">
        <v>384</v>
      </c>
      <c r="AU245" t="s">
        <v>384</v>
      </c>
      <c r="AV245" t="s">
        <v>384</v>
      </c>
      <c r="AW245" t="s">
        <v>384</v>
      </c>
      <c r="AX245" t="s">
        <v>385</v>
      </c>
      <c r="AY245" t="s">
        <v>384</v>
      </c>
      <c r="AZ245" t="s">
        <v>384</v>
      </c>
      <c r="BA245" t="s">
        <v>385</v>
      </c>
      <c r="BB245" t="s">
        <v>384</v>
      </c>
      <c r="BC245" t="s">
        <v>384</v>
      </c>
      <c r="BD245" t="s">
        <v>384</v>
      </c>
      <c r="BI245" t="s">
        <v>389</v>
      </c>
    </row>
    <row r="246" spans="1:61" x14ac:dyDescent="0.2">
      <c r="A246">
        <v>0</v>
      </c>
      <c r="B246">
        <v>1022</v>
      </c>
      <c r="D246" t="s">
        <v>348</v>
      </c>
      <c r="E246" t="s">
        <v>431</v>
      </c>
      <c r="F246" t="s">
        <v>669</v>
      </c>
      <c r="G246" t="s">
        <v>378</v>
      </c>
      <c r="J246" t="s">
        <v>87</v>
      </c>
      <c r="K246" s="21">
        <v>46301</v>
      </c>
      <c r="L246" s="21">
        <v>46362</v>
      </c>
      <c r="P246" t="s">
        <v>379</v>
      </c>
      <c r="Q246" t="s">
        <v>379</v>
      </c>
      <c r="T246">
        <v>7230</v>
      </c>
      <c r="U246" t="s">
        <v>381</v>
      </c>
      <c r="AA246" t="s">
        <v>5</v>
      </c>
      <c r="AC246">
        <v>1022</v>
      </c>
      <c r="AD246">
        <v>46221</v>
      </c>
      <c r="AE246">
        <v>46161</v>
      </c>
      <c r="AF246">
        <v>102</v>
      </c>
      <c r="AG246">
        <v>102</v>
      </c>
      <c r="AH246" t="s">
        <v>519</v>
      </c>
      <c r="AI246" t="b">
        <v>0</v>
      </c>
      <c r="AJ246" t="s">
        <v>871</v>
      </c>
      <c r="AK246" t="s">
        <v>384</v>
      </c>
      <c r="AL246" t="s">
        <v>385</v>
      </c>
      <c r="AM246" t="s">
        <v>385</v>
      </c>
      <c r="AN246" t="s">
        <v>384</v>
      </c>
      <c r="AO246" t="s">
        <v>384</v>
      </c>
      <c r="AP246" t="s">
        <v>384</v>
      </c>
      <c r="AQ246" t="s">
        <v>384</v>
      </c>
      <c r="AR246" t="s">
        <v>384</v>
      </c>
      <c r="AS246" t="s">
        <v>384</v>
      </c>
      <c r="AT246" t="s">
        <v>384</v>
      </c>
      <c r="AU246" t="s">
        <v>384</v>
      </c>
      <c r="AV246" t="s">
        <v>384</v>
      </c>
      <c r="AW246" t="s">
        <v>384</v>
      </c>
      <c r="AX246" t="s">
        <v>385</v>
      </c>
      <c r="AY246" t="s">
        <v>384</v>
      </c>
      <c r="AZ246" t="s">
        <v>384</v>
      </c>
      <c r="BA246" t="s">
        <v>385</v>
      </c>
      <c r="BB246" t="s">
        <v>384</v>
      </c>
      <c r="BC246" t="s">
        <v>384</v>
      </c>
      <c r="BD246" t="s">
        <v>384</v>
      </c>
      <c r="BI246" t="s">
        <v>431</v>
      </c>
    </row>
    <row r="247" spans="1:61" x14ac:dyDescent="0.2">
      <c r="A247">
        <v>0</v>
      </c>
      <c r="B247">
        <v>1120</v>
      </c>
      <c r="D247" t="s">
        <v>348</v>
      </c>
      <c r="E247" t="s">
        <v>560</v>
      </c>
      <c r="F247" t="s">
        <v>754</v>
      </c>
      <c r="G247" t="s">
        <v>378</v>
      </c>
      <c r="J247" t="s">
        <v>87</v>
      </c>
      <c r="K247" s="21">
        <v>46302</v>
      </c>
      <c r="L247" s="21">
        <v>46323</v>
      </c>
      <c r="P247" t="s">
        <v>379</v>
      </c>
      <c r="Q247" t="s">
        <v>379</v>
      </c>
      <c r="S247" t="s">
        <v>380</v>
      </c>
      <c r="T247">
        <v>7599</v>
      </c>
      <c r="U247" t="s">
        <v>381</v>
      </c>
      <c r="AA247" t="s">
        <v>5</v>
      </c>
      <c r="AC247">
        <v>1120</v>
      </c>
      <c r="AD247">
        <v>46221</v>
      </c>
      <c r="AE247">
        <v>46161</v>
      </c>
      <c r="AF247">
        <v>102</v>
      </c>
      <c r="AG247">
        <v>102</v>
      </c>
      <c r="AH247" t="s">
        <v>519</v>
      </c>
      <c r="AI247" t="b">
        <v>0</v>
      </c>
      <c r="AJ247" t="s">
        <v>872</v>
      </c>
      <c r="AK247" t="s">
        <v>384</v>
      </c>
      <c r="AL247" t="s">
        <v>385</v>
      </c>
      <c r="AM247" t="s">
        <v>385</v>
      </c>
      <c r="AN247" t="s">
        <v>384</v>
      </c>
      <c r="AO247" t="s">
        <v>384</v>
      </c>
      <c r="AP247" t="s">
        <v>384</v>
      </c>
      <c r="AQ247" t="s">
        <v>384</v>
      </c>
      <c r="AR247" t="s">
        <v>384</v>
      </c>
      <c r="AS247" t="s">
        <v>384</v>
      </c>
      <c r="AT247" t="s">
        <v>384</v>
      </c>
      <c r="AU247" t="s">
        <v>384</v>
      </c>
      <c r="AV247" t="s">
        <v>384</v>
      </c>
      <c r="AW247" t="s">
        <v>384</v>
      </c>
      <c r="AX247" t="s">
        <v>385</v>
      </c>
      <c r="AY247" t="s">
        <v>384</v>
      </c>
      <c r="AZ247" t="s">
        <v>384</v>
      </c>
      <c r="BA247" t="s">
        <v>385</v>
      </c>
      <c r="BB247" t="s">
        <v>384</v>
      </c>
      <c r="BC247" t="s">
        <v>384</v>
      </c>
      <c r="BD247" t="s">
        <v>384</v>
      </c>
      <c r="BI247" t="s">
        <v>560</v>
      </c>
    </row>
    <row r="248" spans="1:61" x14ac:dyDescent="0.2">
      <c r="A248">
        <v>0</v>
      </c>
      <c r="B248">
        <v>1124</v>
      </c>
      <c r="D248" t="s">
        <v>348</v>
      </c>
      <c r="E248" t="s">
        <v>815</v>
      </c>
      <c r="F248" t="s">
        <v>816</v>
      </c>
      <c r="G248" t="s">
        <v>378</v>
      </c>
      <c r="J248" t="s">
        <v>87</v>
      </c>
      <c r="K248" s="21">
        <v>46303</v>
      </c>
      <c r="L248" s="21">
        <v>46305</v>
      </c>
      <c r="P248" t="s">
        <v>379</v>
      </c>
      <c r="Q248" t="s">
        <v>379</v>
      </c>
      <c r="S248" t="s">
        <v>380</v>
      </c>
      <c r="T248">
        <v>7603</v>
      </c>
      <c r="U248" t="s">
        <v>381</v>
      </c>
      <c r="AA248" t="s">
        <v>5</v>
      </c>
      <c r="AC248">
        <v>1124</v>
      </c>
      <c r="AD248">
        <v>46221</v>
      </c>
      <c r="AE248">
        <v>46161</v>
      </c>
      <c r="AF248">
        <v>102</v>
      </c>
      <c r="AG248">
        <v>102</v>
      </c>
      <c r="AH248" t="s">
        <v>519</v>
      </c>
      <c r="AI248" t="b">
        <v>0</v>
      </c>
      <c r="AJ248" t="s">
        <v>873</v>
      </c>
      <c r="AK248" t="s">
        <v>384</v>
      </c>
      <c r="AL248" t="s">
        <v>385</v>
      </c>
      <c r="AM248" t="s">
        <v>385</v>
      </c>
      <c r="AN248" t="s">
        <v>384</v>
      </c>
      <c r="AO248" t="s">
        <v>384</v>
      </c>
      <c r="AP248" t="s">
        <v>384</v>
      </c>
      <c r="AQ248" t="s">
        <v>384</v>
      </c>
      <c r="AR248" t="s">
        <v>384</v>
      </c>
      <c r="AS248" t="s">
        <v>384</v>
      </c>
      <c r="AT248" t="s">
        <v>384</v>
      </c>
      <c r="AU248" t="s">
        <v>384</v>
      </c>
      <c r="AV248" t="s">
        <v>384</v>
      </c>
      <c r="AW248" t="s">
        <v>384</v>
      </c>
      <c r="AX248" t="s">
        <v>385</v>
      </c>
      <c r="AY248" t="s">
        <v>384</v>
      </c>
      <c r="AZ248" t="s">
        <v>384</v>
      </c>
      <c r="BA248" t="s">
        <v>385</v>
      </c>
      <c r="BB248" t="s">
        <v>384</v>
      </c>
      <c r="BC248" t="s">
        <v>384</v>
      </c>
      <c r="BD248" t="s">
        <v>384</v>
      </c>
      <c r="BI248" t="s">
        <v>815</v>
      </c>
    </row>
    <row r="249" spans="1:61" x14ac:dyDescent="0.2">
      <c r="A249">
        <v>0</v>
      </c>
      <c r="B249">
        <v>1123</v>
      </c>
      <c r="D249" t="s">
        <v>348</v>
      </c>
      <c r="E249" t="s">
        <v>812</v>
      </c>
      <c r="F249" t="s">
        <v>813</v>
      </c>
      <c r="G249" t="s">
        <v>378</v>
      </c>
      <c r="J249" t="s">
        <v>87</v>
      </c>
      <c r="K249" s="21">
        <v>46303</v>
      </c>
      <c r="L249" s="21">
        <v>46305</v>
      </c>
      <c r="P249" t="s">
        <v>379</v>
      </c>
      <c r="Q249" t="s">
        <v>379</v>
      </c>
      <c r="S249" t="s">
        <v>380</v>
      </c>
      <c r="T249">
        <v>7602</v>
      </c>
      <c r="U249" t="s">
        <v>381</v>
      </c>
      <c r="AA249" t="s">
        <v>5</v>
      </c>
      <c r="AC249">
        <v>1123</v>
      </c>
      <c r="AD249">
        <v>46221</v>
      </c>
      <c r="AE249">
        <v>46161</v>
      </c>
      <c r="AF249">
        <v>102</v>
      </c>
      <c r="AG249">
        <v>102</v>
      </c>
      <c r="AH249" t="s">
        <v>519</v>
      </c>
      <c r="AI249" t="b">
        <v>0</v>
      </c>
      <c r="AJ249" t="s">
        <v>874</v>
      </c>
      <c r="AK249" t="s">
        <v>384</v>
      </c>
      <c r="AL249" t="s">
        <v>385</v>
      </c>
      <c r="AM249" t="s">
        <v>385</v>
      </c>
      <c r="AN249" t="s">
        <v>384</v>
      </c>
      <c r="AO249" t="s">
        <v>384</v>
      </c>
      <c r="AP249" t="s">
        <v>384</v>
      </c>
      <c r="AQ249" t="s">
        <v>384</v>
      </c>
      <c r="AR249" t="s">
        <v>384</v>
      </c>
      <c r="AS249" t="s">
        <v>384</v>
      </c>
      <c r="AT249" t="s">
        <v>384</v>
      </c>
      <c r="AU249" t="s">
        <v>384</v>
      </c>
      <c r="AV249" t="s">
        <v>384</v>
      </c>
      <c r="AW249" t="s">
        <v>384</v>
      </c>
      <c r="AX249" t="s">
        <v>385</v>
      </c>
      <c r="AY249" t="s">
        <v>384</v>
      </c>
      <c r="AZ249" t="s">
        <v>384</v>
      </c>
      <c r="BA249" t="s">
        <v>385</v>
      </c>
      <c r="BB249" t="s">
        <v>384</v>
      </c>
      <c r="BC249" t="s">
        <v>384</v>
      </c>
      <c r="BD249" t="s">
        <v>384</v>
      </c>
      <c r="BI249" t="s">
        <v>812</v>
      </c>
    </row>
    <row r="250" spans="1:61" x14ac:dyDescent="0.2">
      <c r="A250">
        <v>0</v>
      </c>
      <c r="B250">
        <v>1125</v>
      </c>
      <c r="D250" t="s">
        <v>348</v>
      </c>
      <c r="E250" t="s">
        <v>875</v>
      </c>
      <c r="F250" t="s">
        <v>876</v>
      </c>
      <c r="G250" t="s">
        <v>378</v>
      </c>
      <c r="J250" t="s">
        <v>87</v>
      </c>
      <c r="K250" s="21">
        <v>46304</v>
      </c>
      <c r="L250" s="21">
        <v>46305</v>
      </c>
      <c r="P250" t="s">
        <v>379</v>
      </c>
      <c r="Q250" t="s">
        <v>379</v>
      </c>
      <c r="S250" t="s">
        <v>380</v>
      </c>
      <c r="T250">
        <v>7604</v>
      </c>
      <c r="U250" t="s">
        <v>381</v>
      </c>
      <c r="AA250" t="s">
        <v>5</v>
      </c>
      <c r="AC250">
        <v>1125</v>
      </c>
      <c r="AD250">
        <v>46221</v>
      </c>
      <c r="AE250">
        <v>46161</v>
      </c>
      <c r="AF250">
        <v>102</v>
      </c>
      <c r="AG250">
        <v>102</v>
      </c>
      <c r="AH250" t="s">
        <v>519</v>
      </c>
      <c r="AI250" t="b">
        <v>0</v>
      </c>
      <c r="AJ250" t="s">
        <v>877</v>
      </c>
      <c r="AK250" t="s">
        <v>384</v>
      </c>
      <c r="AL250" t="s">
        <v>385</v>
      </c>
      <c r="AM250" t="s">
        <v>385</v>
      </c>
      <c r="AN250" t="s">
        <v>384</v>
      </c>
      <c r="AO250" t="s">
        <v>384</v>
      </c>
      <c r="AP250" t="s">
        <v>384</v>
      </c>
      <c r="AQ250" t="s">
        <v>384</v>
      </c>
      <c r="AR250" t="s">
        <v>384</v>
      </c>
      <c r="AS250" t="s">
        <v>384</v>
      </c>
      <c r="AT250" t="s">
        <v>384</v>
      </c>
      <c r="AU250" t="s">
        <v>384</v>
      </c>
      <c r="AV250" t="s">
        <v>384</v>
      </c>
      <c r="AW250" t="s">
        <v>384</v>
      </c>
      <c r="AX250" t="s">
        <v>385</v>
      </c>
      <c r="AY250" t="s">
        <v>384</v>
      </c>
      <c r="AZ250" t="s">
        <v>384</v>
      </c>
      <c r="BA250" t="s">
        <v>385</v>
      </c>
      <c r="BB250" t="s">
        <v>384</v>
      </c>
      <c r="BC250" t="s">
        <v>384</v>
      </c>
      <c r="BD250" t="s">
        <v>384</v>
      </c>
      <c r="BI250" t="s">
        <v>875</v>
      </c>
    </row>
    <row r="251" spans="1:61" x14ac:dyDescent="0.2">
      <c r="A251">
        <v>0</v>
      </c>
      <c r="B251">
        <v>1056</v>
      </c>
      <c r="D251" t="s">
        <v>348</v>
      </c>
      <c r="E251" t="s">
        <v>875</v>
      </c>
      <c r="F251" t="s">
        <v>876</v>
      </c>
      <c r="G251" t="s">
        <v>378</v>
      </c>
      <c r="J251" t="s">
        <v>87</v>
      </c>
      <c r="K251" s="21">
        <v>46304</v>
      </c>
      <c r="L251" s="21">
        <v>46335</v>
      </c>
      <c r="P251" t="s">
        <v>379</v>
      </c>
      <c r="Q251" t="s">
        <v>379</v>
      </c>
      <c r="S251" t="s">
        <v>380</v>
      </c>
      <c r="T251">
        <v>7396</v>
      </c>
      <c r="U251" t="s">
        <v>381</v>
      </c>
      <c r="AA251" t="s">
        <v>5</v>
      </c>
      <c r="AC251">
        <v>1056</v>
      </c>
      <c r="AD251">
        <v>46221</v>
      </c>
      <c r="AE251">
        <v>46161</v>
      </c>
      <c r="AF251">
        <v>102</v>
      </c>
      <c r="AG251">
        <v>102</v>
      </c>
      <c r="AH251" t="s">
        <v>519</v>
      </c>
      <c r="AI251" t="b">
        <v>0</v>
      </c>
      <c r="AJ251" t="s">
        <v>878</v>
      </c>
      <c r="AK251" t="s">
        <v>384</v>
      </c>
      <c r="AL251" t="s">
        <v>385</v>
      </c>
      <c r="AM251" t="s">
        <v>385</v>
      </c>
      <c r="AN251" t="s">
        <v>384</v>
      </c>
      <c r="AO251" t="s">
        <v>384</v>
      </c>
      <c r="AP251" t="s">
        <v>384</v>
      </c>
      <c r="AQ251" t="s">
        <v>384</v>
      </c>
      <c r="AR251" t="s">
        <v>384</v>
      </c>
      <c r="AS251" t="s">
        <v>384</v>
      </c>
      <c r="AT251" t="s">
        <v>384</v>
      </c>
      <c r="AU251" t="s">
        <v>384</v>
      </c>
      <c r="AV251" t="s">
        <v>384</v>
      </c>
      <c r="AW251" t="s">
        <v>384</v>
      </c>
      <c r="AX251" t="s">
        <v>385</v>
      </c>
      <c r="AY251" t="s">
        <v>384</v>
      </c>
      <c r="AZ251" t="s">
        <v>384</v>
      </c>
      <c r="BA251" t="s">
        <v>385</v>
      </c>
      <c r="BB251" t="s">
        <v>384</v>
      </c>
      <c r="BC251" t="s">
        <v>384</v>
      </c>
      <c r="BD251" t="s">
        <v>384</v>
      </c>
      <c r="BI251" t="s">
        <v>875</v>
      </c>
    </row>
    <row r="252" spans="1:61" x14ac:dyDescent="0.2">
      <c r="A252">
        <v>0</v>
      </c>
      <c r="B252">
        <v>1033</v>
      </c>
      <c r="D252" t="s">
        <v>348</v>
      </c>
      <c r="E252" t="s">
        <v>875</v>
      </c>
      <c r="F252" t="s">
        <v>876</v>
      </c>
      <c r="G252" t="s">
        <v>378</v>
      </c>
      <c r="J252" t="s">
        <v>87</v>
      </c>
      <c r="K252" s="21">
        <v>46304</v>
      </c>
      <c r="L252" s="21">
        <v>46335</v>
      </c>
      <c r="P252" t="s">
        <v>379</v>
      </c>
      <c r="Q252" t="s">
        <v>379</v>
      </c>
      <c r="T252">
        <v>7251</v>
      </c>
      <c r="U252" t="s">
        <v>381</v>
      </c>
      <c r="AA252" t="s">
        <v>5</v>
      </c>
      <c r="AC252">
        <v>1033</v>
      </c>
      <c r="AD252">
        <v>46221</v>
      </c>
      <c r="AE252">
        <v>46161</v>
      </c>
      <c r="AF252">
        <v>102</v>
      </c>
      <c r="AG252">
        <v>102</v>
      </c>
      <c r="AH252" t="s">
        <v>519</v>
      </c>
      <c r="AI252" t="b">
        <v>0</v>
      </c>
      <c r="AJ252" t="s">
        <v>879</v>
      </c>
      <c r="AK252" t="s">
        <v>384</v>
      </c>
      <c r="AL252" t="s">
        <v>385</v>
      </c>
      <c r="AM252" t="s">
        <v>385</v>
      </c>
      <c r="AN252" t="s">
        <v>384</v>
      </c>
      <c r="AO252" t="s">
        <v>384</v>
      </c>
      <c r="AP252" t="s">
        <v>384</v>
      </c>
      <c r="AQ252" t="s">
        <v>384</v>
      </c>
      <c r="AR252" t="s">
        <v>384</v>
      </c>
      <c r="AS252" t="s">
        <v>384</v>
      </c>
      <c r="AT252" t="s">
        <v>384</v>
      </c>
      <c r="AU252" t="s">
        <v>384</v>
      </c>
      <c r="AV252" t="s">
        <v>384</v>
      </c>
      <c r="AW252" t="s">
        <v>384</v>
      </c>
      <c r="AX252" t="s">
        <v>385</v>
      </c>
      <c r="AY252" t="s">
        <v>384</v>
      </c>
      <c r="AZ252" t="s">
        <v>384</v>
      </c>
      <c r="BA252" t="s">
        <v>385</v>
      </c>
      <c r="BB252" t="s">
        <v>384</v>
      </c>
      <c r="BC252" t="s">
        <v>384</v>
      </c>
      <c r="BD252" t="s">
        <v>384</v>
      </c>
      <c r="BI252" t="s">
        <v>875</v>
      </c>
    </row>
    <row r="253" spans="1:61" x14ac:dyDescent="0.2">
      <c r="A253">
        <v>0</v>
      </c>
      <c r="B253">
        <v>936</v>
      </c>
      <c r="D253" t="s">
        <v>348</v>
      </c>
      <c r="E253" t="s">
        <v>445</v>
      </c>
      <c r="F253" t="s">
        <v>406</v>
      </c>
      <c r="G253" t="s">
        <v>378</v>
      </c>
      <c r="J253" t="s">
        <v>87</v>
      </c>
      <c r="K253" s="21">
        <v>46309</v>
      </c>
      <c r="L253" s="21">
        <v>46309</v>
      </c>
      <c r="P253" t="s">
        <v>379</v>
      </c>
      <c r="Q253" t="s">
        <v>379</v>
      </c>
      <c r="T253">
        <v>5726</v>
      </c>
      <c r="U253" t="s">
        <v>381</v>
      </c>
      <c r="Y253" t="b">
        <v>1</v>
      </c>
      <c r="AA253" t="s">
        <v>94</v>
      </c>
      <c r="AC253">
        <v>936</v>
      </c>
      <c r="AD253">
        <v>46225</v>
      </c>
      <c r="AE253">
        <v>46161</v>
      </c>
      <c r="AF253">
        <v>102</v>
      </c>
      <c r="AG253">
        <v>102</v>
      </c>
      <c r="AH253" t="s">
        <v>414</v>
      </c>
      <c r="AI253" t="b">
        <v>0</v>
      </c>
      <c r="AJ253" t="s">
        <v>880</v>
      </c>
      <c r="AK253" t="s">
        <v>384</v>
      </c>
      <c r="AL253" t="s">
        <v>385</v>
      </c>
      <c r="AM253" t="s">
        <v>385</v>
      </c>
      <c r="AN253" t="s">
        <v>384</v>
      </c>
      <c r="AO253" t="s">
        <v>384</v>
      </c>
      <c r="AP253" t="s">
        <v>384</v>
      </c>
      <c r="AQ253" t="s">
        <v>384</v>
      </c>
      <c r="AR253" t="s">
        <v>384</v>
      </c>
      <c r="AS253" t="s">
        <v>384</v>
      </c>
      <c r="AT253" t="s">
        <v>384</v>
      </c>
      <c r="AU253" t="s">
        <v>384</v>
      </c>
      <c r="AV253" t="s">
        <v>384</v>
      </c>
      <c r="AW253" t="s">
        <v>384</v>
      </c>
      <c r="AX253" t="s">
        <v>385</v>
      </c>
      <c r="AY253" t="s">
        <v>384</v>
      </c>
      <c r="AZ253" t="s">
        <v>384</v>
      </c>
      <c r="BA253" t="s">
        <v>385</v>
      </c>
      <c r="BB253" t="s">
        <v>384</v>
      </c>
      <c r="BC253" t="s">
        <v>384</v>
      </c>
      <c r="BD253" t="s">
        <v>384</v>
      </c>
      <c r="BI253" t="s">
        <v>445</v>
      </c>
    </row>
    <row r="254" spans="1:61" x14ac:dyDescent="0.2">
      <c r="A254">
        <v>0</v>
      </c>
      <c r="B254">
        <v>885</v>
      </c>
      <c r="D254" t="s">
        <v>348</v>
      </c>
      <c r="E254" t="s">
        <v>881</v>
      </c>
      <c r="F254" t="s">
        <v>416</v>
      </c>
      <c r="G254" t="s">
        <v>378</v>
      </c>
      <c r="J254" t="s">
        <v>87</v>
      </c>
      <c r="K254" s="21">
        <v>46310</v>
      </c>
      <c r="L254" s="21">
        <v>46312</v>
      </c>
      <c r="P254" t="s">
        <v>379</v>
      </c>
      <c r="Q254" t="s">
        <v>379</v>
      </c>
      <c r="T254">
        <v>5672</v>
      </c>
      <c r="U254" t="s">
        <v>381</v>
      </c>
      <c r="Y254" t="b">
        <v>1</v>
      </c>
      <c r="AA254" t="s">
        <v>94</v>
      </c>
      <c r="AC254">
        <v>885</v>
      </c>
      <c r="AD254">
        <v>46225</v>
      </c>
      <c r="AE254">
        <v>46161</v>
      </c>
      <c r="AF254">
        <v>102</v>
      </c>
      <c r="AG254">
        <v>102</v>
      </c>
      <c r="AH254" t="s">
        <v>414</v>
      </c>
      <c r="AI254" t="b">
        <v>0</v>
      </c>
      <c r="AJ254" t="s">
        <v>882</v>
      </c>
      <c r="AK254" t="s">
        <v>384</v>
      </c>
      <c r="AL254" t="s">
        <v>385</v>
      </c>
      <c r="AM254" t="s">
        <v>385</v>
      </c>
      <c r="AN254" t="s">
        <v>384</v>
      </c>
      <c r="AO254" t="s">
        <v>384</v>
      </c>
      <c r="AP254" t="s">
        <v>384</v>
      </c>
      <c r="AQ254" t="s">
        <v>384</v>
      </c>
      <c r="AR254" t="s">
        <v>384</v>
      </c>
      <c r="AS254" t="s">
        <v>384</v>
      </c>
      <c r="AT254" t="s">
        <v>384</v>
      </c>
      <c r="AU254" t="s">
        <v>384</v>
      </c>
      <c r="AV254" t="s">
        <v>384</v>
      </c>
      <c r="AW254" t="s">
        <v>384</v>
      </c>
      <c r="AX254" t="s">
        <v>385</v>
      </c>
      <c r="AY254" t="s">
        <v>384</v>
      </c>
      <c r="AZ254" t="s">
        <v>384</v>
      </c>
      <c r="BA254" t="s">
        <v>385</v>
      </c>
      <c r="BB254" t="s">
        <v>384</v>
      </c>
      <c r="BC254" t="s">
        <v>384</v>
      </c>
      <c r="BD254" t="s">
        <v>384</v>
      </c>
      <c r="BI254" t="s">
        <v>881</v>
      </c>
    </row>
    <row r="255" spans="1:61" x14ac:dyDescent="0.2">
      <c r="A255">
        <v>0</v>
      </c>
      <c r="B255">
        <v>887</v>
      </c>
      <c r="D255" t="s">
        <v>348</v>
      </c>
      <c r="E255" t="s">
        <v>883</v>
      </c>
      <c r="F255" t="s">
        <v>416</v>
      </c>
      <c r="G255" t="s">
        <v>378</v>
      </c>
      <c r="J255" t="s">
        <v>87</v>
      </c>
      <c r="K255" s="21">
        <v>46311</v>
      </c>
      <c r="L255" s="21">
        <v>46312</v>
      </c>
      <c r="P255" t="s">
        <v>379</v>
      </c>
      <c r="Q255" t="s">
        <v>379</v>
      </c>
      <c r="T255">
        <v>5674</v>
      </c>
      <c r="U255" t="s">
        <v>381</v>
      </c>
      <c r="Y255" t="b">
        <v>1</v>
      </c>
      <c r="AA255" t="s">
        <v>94</v>
      </c>
      <c r="AC255">
        <v>887</v>
      </c>
      <c r="AD255">
        <v>46225</v>
      </c>
      <c r="AE255">
        <v>46161</v>
      </c>
      <c r="AF255">
        <v>102</v>
      </c>
      <c r="AG255">
        <v>102</v>
      </c>
      <c r="AH255" t="s">
        <v>414</v>
      </c>
      <c r="AI255" t="b">
        <v>0</v>
      </c>
      <c r="AJ255" t="s">
        <v>884</v>
      </c>
      <c r="AK255" t="s">
        <v>384</v>
      </c>
      <c r="AL255" t="s">
        <v>385</v>
      </c>
      <c r="AM255" t="s">
        <v>385</v>
      </c>
      <c r="AN255" t="s">
        <v>384</v>
      </c>
      <c r="AO255" t="s">
        <v>384</v>
      </c>
      <c r="AP255" t="s">
        <v>384</v>
      </c>
      <c r="AQ255" t="s">
        <v>384</v>
      </c>
      <c r="AR255" t="s">
        <v>384</v>
      </c>
      <c r="AS255" t="s">
        <v>384</v>
      </c>
      <c r="AT255" t="s">
        <v>384</v>
      </c>
      <c r="AU255" t="s">
        <v>384</v>
      </c>
      <c r="AV255" t="s">
        <v>384</v>
      </c>
      <c r="AW255" t="s">
        <v>384</v>
      </c>
      <c r="AX255" t="s">
        <v>385</v>
      </c>
      <c r="AY255" t="s">
        <v>384</v>
      </c>
      <c r="AZ255" t="s">
        <v>384</v>
      </c>
      <c r="BA255" t="s">
        <v>385</v>
      </c>
      <c r="BB255" t="s">
        <v>384</v>
      </c>
      <c r="BC255" t="s">
        <v>384</v>
      </c>
      <c r="BD255" t="s">
        <v>384</v>
      </c>
      <c r="BI255" t="s">
        <v>883</v>
      </c>
    </row>
    <row r="256" spans="1:61" x14ac:dyDescent="0.2">
      <c r="A256">
        <v>0</v>
      </c>
      <c r="B256">
        <v>886</v>
      </c>
      <c r="D256" t="s">
        <v>348</v>
      </c>
      <c r="E256" t="s">
        <v>885</v>
      </c>
      <c r="F256" t="s">
        <v>416</v>
      </c>
      <c r="G256" t="s">
        <v>378</v>
      </c>
      <c r="J256" t="s">
        <v>87</v>
      </c>
      <c r="K256" s="21">
        <v>46311</v>
      </c>
      <c r="L256" s="21">
        <v>46312</v>
      </c>
      <c r="P256" t="s">
        <v>379</v>
      </c>
      <c r="Q256" t="s">
        <v>379</v>
      </c>
      <c r="T256">
        <v>5673</v>
      </c>
      <c r="U256" t="s">
        <v>381</v>
      </c>
      <c r="Y256" t="b">
        <v>1</v>
      </c>
      <c r="AA256" t="s">
        <v>94</v>
      </c>
      <c r="AC256">
        <v>886</v>
      </c>
      <c r="AD256">
        <v>46225</v>
      </c>
      <c r="AE256">
        <v>46161</v>
      </c>
      <c r="AF256">
        <v>102</v>
      </c>
      <c r="AG256">
        <v>102</v>
      </c>
      <c r="AH256" t="s">
        <v>414</v>
      </c>
      <c r="AI256" t="b">
        <v>0</v>
      </c>
      <c r="AJ256" t="s">
        <v>886</v>
      </c>
      <c r="AK256" t="s">
        <v>384</v>
      </c>
      <c r="AL256" t="s">
        <v>385</v>
      </c>
      <c r="AM256" t="s">
        <v>385</v>
      </c>
      <c r="AN256" t="s">
        <v>384</v>
      </c>
      <c r="AO256" t="s">
        <v>384</v>
      </c>
      <c r="AP256" t="s">
        <v>384</v>
      </c>
      <c r="AQ256" t="s">
        <v>384</v>
      </c>
      <c r="AR256" t="s">
        <v>384</v>
      </c>
      <c r="AS256" t="s">
        <v>384</v>
      </c>
      <c r="AT256" t="s">
        <v>384</v>
      </c>
      <c r="AU256" t="s">
        <v>384</v>
      </c>
      <c r="AV256" t="s">
        <v>384</v>
      </c>
      <c r="AW256" t="s">
        <v>384</v>
      </c>
      <c r="AX256" t="s">
        <v>385</v>
      </c>
      <c r="AY256" t="s">
        <v>384</v>
      </c>
      <c r="AZ256" t="s">
        <v>384</v>
      </c>
      <c r="BA256" t="s">
        <v>385</v>
      </c>
      <c r="BB256" t="s">
        <v>384</v>
      </c>
      <c r="BC256" t="s">
        <v>384</v>
      </c>
      <c r="BD256" t="s">
        <v>384</v>
      </c>
      <c r="BI256" t="s">
        <v>885</v>
      </c>
    </row>
    <row r="257" spans="1:61" x14ac:dyDescent="0.2">
      <c r="A257">
        <v>0</v>
      </c>
      <c r="B257">
        <v>1000</v>
      </c>
      <c r="D257" t="s">
        <v>348</v>
      </c>
      <c r="E257" t="s">
        <v>405</v>
      </c>
      <c r="F257" t="s">
        <v>406</v>
      </c>
      <c r="G257" t="s">
        <v>378</v>
      </c>
      <c r="J257" t="s">
        <v>87</v>
      </c>
      <c r="K257" s="21">
        <v>46312</v>
      </c>
      <c r="L257" s="21">
        <v>46312</v>
      </c>
      <c r="P257" t="s">
        <v>379</v>
      </c>
      <c r="Q257" t="s">
        <v>379</v>
      </c>
      <c r="S257" t="s">
        <v>407</v>
      </c>
      <c r="T257">
        <v>5790</v>
      </c>
      <c r="U257" t="s">
        <v>381</v>
      </c>
      <c r="Y257" t="b">
        <v>1</v>
      </c>
      <c r="AA257" t="s">
        <v>94</v>
      </c>
      <c r="AC257">
        <v>1000</v>
      </c>
      <c r="AD257">
        <v>46225</v>
      </c>
      <c r="AE257">
        <v>46161</v>
      </c>
      <c r="AF257">
        <v>102</v>
      </c>
      <c r="AG257">
        <v>102</v>
      </c>
      <c r="AH257" t="s">
        <v>414</v>
      </c>
      <c r="AI257" t="b">
        <v>0</v>
      </c>
      <c r="AJ257" t="s">
        <v>887</v>
      </c>
      <c r="AK257" t="s">
        <v>384</v>
      </c>
      <c r="AL257" t="s">
        <v>385</v>
      </c>
      <c r="AM257" t="s">
        <v>385</v>
      </c>
      <c r="AN257" t="s">
        <v>384</v>
      </c>
      <c r="AO257" t="s">
        <v>384</v>
      </c>
      <c r="AP257" t="s">
        <v>384</v>
      </c>
      <c r="AQ257" t="s">
        <v>384</v>
      </c>
      <c r="AR257" t="s">
        <v>384</v>
      </c>
      <c r="AS257" t="s">
        <v>384</v>
      </c>
      <c r="AT257" t="s">
        <v>384</v>
      </c>
      <c r="AU257" t="s">
        <v>384</v>
      </c>
      <c r="AV257" t="s">
        <v>384</v>
      </c>
      <c r="AW257" t="s">
        <v>384</v>
      </c>
      <c r="AX257" t="s">
        <v>385</v>
      </c>
      <c r="AY257" t="s">
        <v>384</v>
      </c>
      <c r="AZ257" t="s">
        <v>384</v>
      </c>
      <c r="BA257" t="s">
        <v>385</v>
      </c>
      <c r="BB257" t="s">
        <v>384</v>
      </c>
      <c r="BC257" t="s">
        <v>384</v>
      </c>
      <c r="BD257" t="s">
        <v>384</v>
      </c>
      <c r="BI257" t="s">
        <v>405</v>
      </c>
    </row>
    <row r="258" spans="1:61" x14ac:dyDescent="0.2">
      <c r="A258">
        <v>0</v>
      </c>
      <c r="B258">
        <v>978</v>
      </c>
      <c r="D258" t="s">
        <v>348</v>
      </c>
      <c r="E258" t="s">
        <v>440</v>
      </c>
      <c r="F258" t="s">
        <v>406</v>
      </c>
      <c r="G258" t="s">
        <v>378</v>
      </c>
      <c r="J258" t="s">
        <v>87</v>
      </c>
      <c r="K258" s="21">
        <v>46313</v>
      </c>
      <c r="L258" s="21">
        <v>46313</v>
      </c>
      <c r="P258" t="s">
        <v>379</v>
      </c>
      <c r="Q258" t="s">
        <v>379</v>
      </c>
      <c r="T258">
        <v>5768</v>
      </c>
      <c r="U258" t="s">
        <v>381</v>
      </c>
      <c r="Y258" t="b">
        <v>1</v>
      </c>
      <c r="Z258" t="s">
        <v>413</v>
      </c>
      <c r="AA258" t="s">
        <v>94</v>
      </c>
      <c r="AC258">
        <v>978</v>
      </c>
      <c r="AD258">
        <v>46225</v>
      </c>
      <c r="AE258">
        <v>46161</v>
      </c>
      <c r="AF258">
        <v>102</v>
      </c>
      <c r="AG258">
        <v>102</v>
      </c>
      <c r="AH258" t="s">
        <v>676</v>
      </c>
      <c r="AI258" t="b">
        <v>0</v>
      </c>
      <c r="AJ258" t="s">
        <v>888</v>
      </c>
      <c r="AK258" t="s">
        <v>384</v>
      </c>
      <c r="AL258" t="s">
        <v>385</v>
      </c>
      <c r="AM258" t="s">
        <v>385</v>
      </c>
      <c r="AN258" t="s">
        <v>384</v>
      </c>
      <c r="AO258" t="s">
        <v>384</v>
      </c>
      <c r="AP258" t="s">
        <v>384</v>
      </c>
      <c r="AQ258" t="s">
        <v>384</v>
      </c>
      <c r="AR258" t="s">
        <v>384</v>
      </c>
      <c r="AS258" t="s">
        <v>384</v>
      </c>
      <c r="AT258" t="s">
        <v>384</v>
      </c>
      <c r="AU258" t="s">
        <v>384</v>
      </c>
      <c r="AV258" t="s">
        <v>384</v>
      </c>
      <c r="AW258" t="s">
        <v>384</v>
      </c>
      <c r="AX258" t="s">
        <v>385</v>
      </c>
      <c r="AY258" t="s">
        <v>384</v>
      </c>
      <c r="AZ258" t="s">
        <v>384</v>
      </c>
      <c r="BA258" t="s">
        <v>385</v>
      </c>
      <c r="BB258" t="s">
        <v>384</v>
      </c>
      <c r="BC258" t="s">
        <v>384</v>
      </c>
      <c r="BD258" t="s">
        <v>384</v>
      </c>
      <c r="BI258" t="s">
        <v>440</v>
      </c>
    </row>
    <row r="259" spans="1:61" x14ac:dyDescent="0.2">
      <c r="A259">
        <v>0</v>
      </c>
      <c r="B259">
        <v>959</v>
      </c>
      <c r="D259" t="s">
        <v>348</v>
      </c>
      <c r="E259" t="s">
        <v>409</v>
      </c>
      <c r="F259" t="s">
        <v>410</v>
      </c>
      <c r="G259" t="s">
        <v>378</v>
      </c>
      <c r="J259" t="s">
        <v>87</v>
      </c>
      <c r="K259" s="21">
        <v>46313</v>
      </c>
      <c r="L259" s="21">
        <v>46313</v>
      </c>
      <c r="P259" t="s">
        <v>379</v>
      </c>
      <c r="Q259" t="s">
        <v>379</v>
      </c>
      <c r="T259">
        <v>5749</v>
      </c>
      <c r="U259" t="s">
        <v>381</v>
      </c>
      <c r="AA259" t="s">
        <v>5</v>
      </c>
      <c r="AC259">
        <v>959</v>
      </c>
      <c r="AD259">
        <v>46221</v>
      </c>
      <c r="AE259">
        <v>46161</v>
      </c>
      <c r="AF259">
        <v>102</v>
      </c>
      <c r="AG259">
        <v>102</v>
      </c>
      <c r="AH259" t="s">
        <v>519</v>
      </c>
      <c r="AI259" t="b">
        <v>0</v>
      </c>
      <c r="AJ259" t="s">
        <v>889</v>
      </c>
      <c r="AK259" t="s">
        <v>384</v>
      </c>
      <c r="AL259" t="s">
        <v>385</v>
      </c>
      <c r="AM259" t="s">
        <v>385</v>
      </c>
      <c r="AN259" t="s">
        <v>384</v>
      </c>
      <c r="AO259" t="s">
        <v>384</v>
      </c>
      <c r="AP259" t="s">
        <v>384</v>
      </c>
      <c r="AQ259" t="s">
        <v>384</v>
      </c>
      <c r="AR259" t="s">
        <v>384</v>
      </c>
      <c r="AS259" t="s">
        <v>384</v>
      </c>
      <c r="AT259" t="s">
        <v>384</v>
      </c>
      <c r="AU259" t="s">
        <v>384</v>
      </c>
      <c r="AV259" t="s">
        <v>384</v>
      </c>
      <c r="AW259" t="s">
        <v>384</v>
      </c>
      <c r="AX259" t="s">
        <v>385</v>
      </c>
      <c r="AY259" t="s">
        <v>384</v>
      </c>
      <c r="AZ259" t="s">
        <v>384</v>
      </c>
      <c r="BA259" t="s">
        <v>385</v>
      </c>
      <c r="BB259" t="s">
        <v>384</v>
      </c>
      <c r="BC259" t="s">
        <v>384</v>
      </c>
      <c r="BD259" t="s">
        <v>384</v>
      </c>
      <c r="BI259" t="s">
        <v>409</v>
      </c>
    </row>
    <row r="260" spans="1:61" x14ac:dyDescent="0.2">
      <c r="A260">
        <v>0</v>
      </c>
      <c r="B260">
        <v>968</v>
      </c>
      <c r="D260" t="s">
        <v>348</v>
      </c>
      <c r="E260" t="s">
        <v>412</v>
      </c>
      <c r="F260" t="s">
        <v>406</v>
      </c>
      <c r="G260" t="s">
        <v>378</v>
      </c>
      <c r="J260" t="s">
        <v>87</v>
      </c>
      <c r="K260" s="21">
        <v>46315</v>
      </c>
      <c r="L260" s="21">
        <v>46315</v>
      </c>
      <c r="P260" t="s">
        <v>379</v>
      </c>
      <c r="Q260" t="s">
        <v>379</v>
      </c>
      <c r="S260" t="s">
        <v>129</v>
      </c>
      <c r="T260">
        <v>5758</v>
      </c>
      <c r="U260" t="s">
        <v>381</v>
      </c>
      <c r="Y260" t="b">
        <v>1</v>
      </c>
      <c r="Z260" t="s">
        <v>413</v>
      </c>
      <c r="AA260" t="s">
        <v>94</v>
      </c>
      <c r="AC260">
        <v>968</v>
      </c>
      <c r="AD260">
        <v>46225</v>
      </c>
      <c r="AE260">
        <v>46161</v>
      </c>
      <c r="AF260">
        <v>102</v>
      </c>
      <c r="AG260">
        <v>102</v>
      </c>
      <c r="AH260" t="s">
        <v>676</v>
      </c>
      <c r="AI260" t="b">
        <v>0</v>
      </c>
      <c r="AJ260" t="s">
        <v>890</v>
      </c>
      <c r="AK260" t="s">
        <v>384</v>
      </c>
      <c r="AL260" t="s">
        <v>385</v>
      </c>
      <c r="AM260" t="s">
        <v>385</v>
      </c>
      <c r="AN260" t="s">
        <v>384</v>
      </c>
      <c r="AO260" t="s">
        <v>384</v>
      </c>
      <c r="AP260" t="s">
        <v>384</v>
      </c>
      <c r="AQ260" t="s">
        <v>384</v>
      </c>
      <c r="AR260" t="s">
        <v>384</v>
      </c>
      <c r="AS260" t="s">
        <v>384</v>
      </c>
      <c r="AT260" t="s">
        <v>384</v>
      </c>
      <c r="AU260" t="s">
        <v>384</v>
      </c>
      <c r="AV260" t="s">
        <v>384</v>
      </c>
      <c r="AW260" t="s">
        <v>384</v>
      </c>
      <c r="AX260" t="s">
        <v>385</v>
      </c>
      <c r="AY260" t="s">
        <v>384</v>
      </c>
      <c r="AZ260" t="s">
        <v>384</v>
      </c>
      <c r="BA260" t="s">
        <v>385</v>
      </c>
      <c r="BB260" t="s">
        <v>384</v>
      </c>
      <c r="BC260" t="s">
        <v>384</v>
      </c>
      <c r="BD260" t="s">
        <v>384</v>
      </c>
      <c r="BI260" t="s">
        <v>412</v>
      </c>
    </row>
    <row r="261" spans="1:61" x14ac:dyDescent="0.2">
      <c r="A261">
        <v>0</v>
      </c>
      <c r="B261">
        <v>988</v>
      </c>
      <c r="D261" t="s">
        <v>348</v>
      </c>
      <c r="E261" t="s">
        <v>442</v>
      </c>
      <c r="F261" t="s">
        <v>406</v>
      </c>
      <c r="G261" t="s">
        <v>378</v>
      </c>
      <c r="J261" t="s">
        <v>87</v>
      </c>
      <c r="K261" s="21">
        <v>46315</v>
      </c>
      <c r="L261" s="21">
        <v>46315</v>
      </c>
      <c r="P261" t="s">
        <v>379</v>
      </c>
      <c r="Q261" t="s">
        <v>379</v>
      </c>
      <c r="T261">
        <v>5778</v>
      </c>
      <c r="U261" t="s">
        <v>381</v>
      </c>
      <c r="Y261" t="b">
        <v>1</v>
      </c>
      <c r="AA261" t="s">
        <v>94</v>
      </c>
      <c r="AC261">
        <v>988</v>
      </c>
      <c r="AD261">
        <v>46225</v>
      </c>
      <c r="AE261">
        <v>46161</v>
      </c>
      <c r="AF261">
        <v>102</v>
      </c>
      <c r="AG261">
        <v>102</v>
      </c>
      <c r="AH261" t="s">
        <v>414</v>
      </c>
      <c r="AI261" t="b">
        <v>0</v>
      </c>
      <c r="AJ261" t="s">
        <v>891</v>
      </c>
      <c r="AK261" t="s">
        <v>384</v>
      </c>
      <c r="AL261" t="s">
        <v>385</v>
      </c>
      <c r="AM261" t="s">
        <v>385</v>
      </c>
      <c r="AN261" t="s">
        <v>384</v>
      </c>
      <c r="AO261" t="s">
        <v>384</v>
      </c>
      <c r="AP261" t="s">
        <v>384</v>
      </c>
      <c r="AQ261" t="s">
        <v>384</v>
      </c>
      <c r="AR261" t="s">
        <v>384</v>
      </c>
      <c r="AS261" t="s">
        <v>384</v>
      </c>
      <c r="AT261" t="s">
        <v>384</v>
      </c>
      <c r="AU261" t="s">
        <v>384</v>
      </c>
      <c r="AV261" t="s">
        <v>384</v>
      </c>
      <c r="AW261" t="s">
        <v>384</v>
      </c>
      <c r="AX261" t="s">
        <v>385</v>
      </c>
      <c r="AY261" t="s">
        <v>384</v>
      </c>
      <c r="AZ261" t="s">
        <v>384</v>
      </c>
      <c r="BA261" t="s">
        <v>385</v>
      </c>
      <c r="BB261" t="s">
        <v>384</v>
      </c>
      <c r="BC261" t="s">
        <v>384</v>
      </c>
      <c r="BD261" t="s">
        <v>384</v>
      </c>
      <c r="BI261" t="s">
        <v>442</v>
      </c>
    </row>
    <row r="262" spans="1:61" x14ac:dyDescent="0.2">
      <c r="A262">
        <v>0</v>
      </c>
      <c r="B262">
        <v>1126</v>
      </c>
      <c r="D262" t="s">
        <v>348</v>
      </c>
      <c r="E262" t="s">
        <v>892</v>
      </c>
      <c r="F262" t="s">
        <v>893</v>
      </c>
      <c r="G262" t="s">
        <v>378</v>
      </c>
      <c r="J262" t="s">
        <v>87</v>
      </c>
      <c r="K262" s="21">
        <v>46317</v>
      </c>
      <c r="L262" s="21">
        <v>46319</v>
      </c>
      <c r="P262" t="s">
        <v>379</v>
      </c>
      <c r="Q262" t="s">
        <v>379</v>
      </c>
      <c r="S262" t="s">
        <v>380</v>
      </c>
      <c r="T262">
        <v>7605</v>
      </c>
      <c r="U262" t="s">
        <v>381</v>
      </c>
      <c r="AA262" t="s">
        <v>5</v>
      </c>
      <c r="AC262">
        <v>1126</v>
      </c>
      <c r="AD262">
        <v>46221</v>
      </c>
      <c r="AE262">
        <v>46161</v>
      </c>
      <c r="AF262">
        <v>102</v>
      </c>
      <c r="AG262">
        <v>102</v>
      </c>
      <c r="AH262" t="s">
        <v>519</v>
      </c>
      <c r="AI262" t="b">
        <v>0</v>
      </c>
      <c r="AJ262" t="s">
        <v>894</v>
      </c>
      <c r="AK262" t="s">
        <v>384</v>
      </c>
      <c r="AL262" t="s">
        <v>385</v>
      </c>
      <c r="AM262" t="s">
        <v>385</v>
      </c>
      <c r="AN262" t="s">
        <v>384</v>
      </c>
      <c r="AO262" t="s">
        <v>384</v>
      </c>
      <c r="AP262" t="s">
        <v>384</v>
      </c>
      <c r="AQ262" t="s">
        <v>384</v>
      </c>
      <c r="AR262" t="s">
        <v>384</v>
      </c>
      <c r="AS262" t="s">
        <v>384</v>
      </c>
      <c r="AT262" t="s">
        <v>384</v>
      </c>
      <c r="AU262" t="s">
        <v>384</v>
      </c>
      <c r="AV262" t="s">
        <v>384</v>
      </c>
      <c r="AW262" t="s">
        <v>384</v>
      </c>
      <c r="AX262" t="s">
        <v>385</v>
      </c>
      <c r="AY262" t="s">
        <v>384</v>
      </c>
      <c r="AZ262" t="s">
        <v>384</v>
      </c>
      <c r="BA262" t="s">
        <v>385</v>
      </c>
      <c r="BB262" t="s">
        <v>384</v>
      </c>
      <c r="BC262" t="s">
        <v>384</v>
      </c>
      <c r="BD262" t="s">
        <v>384</v>
      </c>
      <c r="BI262" t="s">
        <v>892</v>
      </c>
    </row>
    <row r="263" spans="1:61" x14ac:dyDescent="0.2">
      <c r="A263">
        <v>0</v>
      </c>
      <c r="B263">
        <v>1127</v>
      </c>
      <c r="D263" t="s">
        <v>348</v>
      </c>
      <c r="E263" t="s">
        <v>895</v>
      </c>
      <c r="F263" t="s">
        <v>896</v>
      </c>
      <c r="G263" t="s">
        <v>378</v>
      </c>
      <c r="J263" t="s">
        <v>87</v>
      </c>
      <c r="K263" s="21">
        <v>46318</v>
      </c>
      <c r="L263" s="21">
        <v>46319</v>
      </c>
      <c r="P263" t="s">
        <v>379</v>
      </c>
      <c r="Q263" t="s">
        <v>379</v>
      </c>
      <c r="S263" t="s">
        <v>380</v>
      </c>
      <c r="T263">
        <v>7606</v>
      </c>
      <c r="U263" t="s">
        <v>381</v>
      </c>
      <c r="AA263" t="s">
        <v>5</v>
      </c>
      <c r="AC263">
        <v>1127</v>
      </c>
      <c r="AD263">
        <v>46221</v>
      </c>
      <c r="AE263">
        <v>46161</v>
      </c>
      <c r="AF263">
        <v>102</v>
      </c>
      <c r="AG263">
        <v>102</v>
      </c>
      <c r="AH263" t="s">
        <v>519</v>
      </c>
      <c r="AI263" t="b">
        <v>0</v>
      </c>
      <c r="AJ263" t="s">
        <v>897</v>
      </c>
      <c r="AK263" t="s">
        <v>384</v>
      </c>
      <c r="AL263" t="s">
        <v>385</v>
      </c>
      <c r="AM263" t="s">
        <v>385</v>
      </c>
      <c r="AN263" t="s">
        <v>384</v>
      </c>
      <c r="AO263" t="s">
        <v>384</v>
      </c>
      <c r="AP263" t="s">
        <v>384</v>
      </c>
      <c r="AQ263" t="s">
        <v>384</v>
      </c>
      <c r="AR263" t="s">
        <v>384</v>
      </c>
      <c r="AS263" t="s">
        <v>384</v>
      </c>
      <c r="AT263" t="s">
        <v>384</v>
      </c>
      <c r="AU263" t="s">
        <v>384</v>
      </c>
      <c r="AV263" t="s">
        <v>384</v>
      </c>
      <c r="AW263" t="s">
        <v>384</v>
      </c>
      <c r="AX263" t="s">
        <v>385</v>
      </c>
      <c r="AY263" t="s">
        <v>384</v>
      </c>
      <c r="AZ263" t="s">
        <v>384</v>
      </c>
      <c r="BA263" t="s">
        <v>385</v>
      </c>
      <c r="BB263" t="s">
        <v>384</v>
      </c>
      <c r="BC263" t="s">
        <v>384</v>
      </c>
      <c r="BD263" t="s">
        <v>384</v>
      </c>
      <c r="BI263" t="s">
        <v>895</v>
      </c>
    </row>
    <row r="264" spans="1:61" x14ac:dyDescent="0.2">
      <c r="E264" t="s">
        <v>100</v>
      </c>
      <c r="J264" t="s">
        <v>87</v>
      </c>
      <c r="K264" s="21">
        <v>46319</v>
      </c>
      <c r="L264" s="21">
        <v>46320</v>
      </c>
      <c r="AA264" t="s">
        <v>94</v>
      </c>
      <c r="BI264" t="s">
        <v>100</v>
      </c>
    </row>
    <row r="265" spans="1:61" x14ac:dyDescent="0.2">
      <c r="A265">
        <v>0</v>
      </c>
      <c r="B265">
        <v>947</v>
      </c>
      <c r="D265" t="s">
        <v>348</v>
      </c>
      <c r="E265" t="s">
        <v>418</v>
      </c>
      <c r="F265" t="s">
        <v>419</v>
      </c>
      <c r="G265" t="s">
        <v>378</v>
      </c>
      <c r="J265" t="s">
        <v>87</v>
      </c>
      <c r="K265" s="21">
        <v>46321</v>
      </c>
      <c r="L265" s="21">
        <v>46321</v>
      </c>
      <c r="P265" t="s">
        <v>379</v>
      </c>
      <c r="Q265" t="s">
        <v>379</v>
      </c>
      <c r="T265">
        <v>5737</v>
      </c>
      <c r="U265" t="s">
        <v>381</v>
      </c>
      <c r="AA265" t="s">
        <v>5</v>
      </c>
      <c r="AC265">
        <v>947</v>
      </c>
      <c r="AD265">
        <v>46221</v>
      </c>
      <c r="AE265">
        <v>46161</v>
      </c>
      <c r="AF265">
        <v>102</v>
      </c>
      <c r="AG265">
        <v>102</v>
      </c>
      <c r="AH265" t="s">
        <v>519</v>
      </c>
      <c r="AI265" t="b">
        <v>0</v>
      </c>
      <c r="AJ265" t="s">
        <v>898</v>
      </c>
      <c r="AK265" t="s">
        <v>384</v>
      </c>
      <c r="AL265" t="s">
        <v>385</v>
      </c>
      <c r="AM265" t="s">
        <v>385</v>
      </c>
      <c r="AN265" t="s">
        <v>384</v>
      </c>
      <c r="AO265" t="s">
        <v>384</v>
      </c>
      <c r="AP265" t="s">
        <v>384</v>
      </c>
      <c r="AQ265" t="s">
        <v>384</v>
      </c>
      <c r="AR265" t="s">
        <v>384</v>
      </c>
      <c r="AS265" t="s">
        <v>384</v>
      </c>
      <c r="AT265" t="s">
        <v>384</v>
      </c>
      <c r="AU265" t="s">
        <v>384</v>
      </c>
      <c r="AV265" t="s">
        <v>384</v>
      </c>
      <c r="AW265" t="s">
        <v>384</v>
      </c>
      <c r="AX265" t="s">
        <v>385</v>
      </c>
      <c r="AY265" t="s">
        <v>384</v>
      </c>
      <c r="AZ265" t="s">
        <v>384</v>
      </c>
      <c r="BA265" t="s">
        <v>385</v>
      </c>
      <c r="BB265" t="s">
        <v>384</v>
      </c>
      <c r="BC265" t="s">
        <v>384</v>
      </c>
      <c r="BD265" t="s">
        <v>384</v>
      </c>
      <c r="BI265" t="s">
        <v>418</v>
      </c>
    </row>
    <row r="266" spans="1:61" x14ac:dyDescent="0.2">
      <c r="A266">
        <v>0</v>
      </c>
      <c r="B266">
        <v>1128</v>
      </c>
      <c r="D266" t="s">
        <v>348</v>
      </c>
      <c r="E266" t="s">
        <v>899</v>
      </c>
      <c r="F266" t="s">
        <v>900</v>
      </c>
      <c r="G266" t="s">
        <v>378</v>
      </c>
      <c r="J266" t="s">
        <v>87</v>
      </c>
      <c r="K266" s="21">
        <v>46324</v>
      </c>
      <c r="L266" s="21">
        <v>46326</v>
      </c>
      <c r="P266" t="s">
        <v>379</v>
      </c>
      <c r="Q266" t="s">
        <v>379</v>
      </c>
      <c r="S266" t="s">
        <v>380</v>
      </c>
      <c r="T266">
        <v>7607</v>
      </c>
      <c r="U266" t="s">
        <v>381</v>
      </c>
      <c r="AA266" t="s">
        <v>5</v>
      </c>
      <c r="AC266">
        <v>1128</v>
      </c>
      <c r="AD266">
        <v>46221</v>
      </c>
      <c r="AE266">
        <v>46161</v>
      </c>
      <c r="AF266">
        <v>102</v>
      </c>
      <c r="AG266">
        <v>102</v>
      </c>
      <c r="AH266" t="s">
        <v>519</v>
      </c>
      <c r="AI266" t="b">
        <v>0</v>
      </c>
      <c r="AJ266" t="s">
        <v>901</v>
      </c>
      <c r="AK266" t="s">
        <v>384</v>
      </c>
      <c r="AL266" t="s">
        <v>385</v>
      </c>
      <c r="AM266" t="s">
        <v>385</v>
      </c>
      <c r="AN266" t="s">
        <v>384</v>
      </c>
      <c r="AO266" t="s">
        <v>384</v>
      </c>
      <c r="AP266" t="s">
        <v>384</v>
      </c>
      <c r="AQ266" t="s">
        <v>384</v>
      </c>
      <c r="AR266" t="s">
        <v>384</v>
      </c>
      <c r="AS266" t="s">
        <v>384</v>
      </c>
      <c r="AT266" t="s">
        <v>384</v>
      </c>
      <c r="AU266" t="s">
        <v>384</v>
      </c>
      <c r="AV266" t="s">
        <v>384</v>
      </c>
      <c r="AW266" t="s">
        <v>384</v>
      </c>
      <c r="AX266" t="s">
        <v>385</v>
      </c>
      <c r="AY266" t="s">
        <v>384</v>
      </c>
      <c r="AZ266" t="s">
        <v>384</v>
      </c>
      <c r="BA266" t="s">
        <v>385</v>
      </c>
      <c r="BB266" t="s">
        <v>384</v>
      </c>
      <c r="BC266" t="s">
        <v>384</v>
      </c>
      <c r="BD266" t="s">
        <v>384</v>
      </c>
      <c r="BI266" t="s">
        <v>899</v>
      </c>
    </row>
    <row r="267" spans="1:61" x14ac:dyDescent="0.2">
      <c r="A267">
        <v>0</v>
      </c>
      <c r="B267">
        <v>1129</v>
      </c>
      <c r="D267" t="s">
        <v>348</v>
      </c>
      <c r="E267" t="s">
        <v>902</v>
      </c>
      <c r="F267" t="s">
        <v>903</v>
      </c>
      <c r="G267" t="s">
        <v>378</v>
      </c>
      <c r="J267" t="s">
        <v>87</v>
      </c>
      <c r="K267" s="21">
        <v>46324</v>
      </c>
      <c r="L267" s="21">
        <v>46326</v>
      </c>
      <c r="P267" t="s">
        <v>379</v>
      </c>
      <c r="Q267" t="s">
        <v>379</v>
      </c>
      <c r="S267" t="s">
        <v>380</v>
      </c>
      <c r="T267">
        <v>7608</v>
      </c>
      <c r="U267" t="s">
        <v>381</v>
      </c>
      <c r="Y267" t="b">
        <v>1</v>
      </c>
      <c r="AA267" t="s">
        <v>94</v>
      </c>
      <c r="AC267">
        <v>1129</v>
      </c>
      <c r="AD267">
        <v>46225</v>
      </c>
      <c r="AE267">
        <v>46161</v>
      </c>
      <c r="AF267">
        <v>102</v>
      </c>
      <c r="AG267">
        <v>102</v>
      </c>
      <c r="AH267" t="s">
        <v>414</v>
      </c>
      <c r="AI267" t="b">
        <v>0</v>
      </c>
      <c r="AJ267" t="s">
        <v>904</v>
      </c>
      <c r="AK267" t="s">
        <v>384</v>
      </c>
      <c r="AL267" t="s">
        <v>385</v>
      </c>
      <c r="AM267" t="s">
        <v>385</v>
      </c>
      <c r="AN267" t="s">
        <v>384</v>
      </c>
      <c r="AO267" t="s">
        <v>384</v>
      </c>
      <c r="AP267" t="s">
        <v>384</v>
      </c>
      <c r="AQ267" t="s">
        <v>384</v>
      </c>
      <c r="AR267" t="s">
        <v>384</v>
      </c>
      <c r="AS267" t="s">
        <v>384</v>
      </c>
      <c r="AT267" t="s">
        <v>384</v>
      </c>
      <c r="AU267" t="s">
        <v>384</v>
      </c>
      <c r="AV267" t="s">
        <v>384</v>
      </c>
      <c r="AW267" t="s">
        <v>384</v>
      </c>
      <c r="AX267" t="s">
        <v>385</v>
      </c>
      <c r="AY267" t="s">
        <v>384</v>
      </c>
      <c r="AZ267" t="s">
        <v>384</v>
      </c>
      <c r="BA267" t="s">
        <v>385</v>
      </c>
      <c r="BB267" t="s">
        <v>384</v>
      </c>
      <c r="BC267" t="s">
        <v>384</v>
      </c>
      <c r="BD267" t="s">
        <v>384</v>
      </c>
      <c r="BI267" t="s">
        <v>902</v>
      </c>
    </row>
    <row r="268" spans="1:61" x14ac:dyDescent="0.2">
      <c r="A268">
        <v>0</v>
      </c>
      <c r="B268">
        <v>1180</v>
      </c>
      <c r="D268" t="s">
        <v>348</v>
      </c>
      <c r="E268" t="s">
        <v>905</v>
      </c>
      <c r="G268" t="s">
        <v>696</v>
      </c>
      <c r="I268" t="s">
        <v>658</v>
      </c>
      <c r="J268" t="s">
        <v>697</v>
      </c>
      <c r="K268" s="21">
        <v>46324</v>
      </c>
      <c r="L268" s="21">
        <v>46324</v>
      </c>
      <c r="P268" t="s">
        <v>379</v>
      </c>
      <c r="Q268" t="s">
        <v>379</v>
      </c>
      <c r="U268" t="s">
        <v>381</v>
      </c>
      <c r="X268">
        <v>12</v>
      </c>
      <c r="Y268" t="b">
        <v>1</v>
      </c>
      <c r="AA268" t="s">
        <v>7</v>
      </c>
      <c r="AC268">
        <v>1180</v>
      </c>
      <c r="AD268">
        <v>46219</v>
      </c>
      <c r="AE268">
        <v>46219</v>
      </c>
      <c r="AF268">
        <v>102</v>
      </c>
      <c r="AG268">
        <v>102</v>
      </c>
      <c r="AH268" t="s">
        <v>660</v>
      </c>
      <c r="AI268" t="b">
        <v>0</v>
      </c>
      <c r="AJ268" t="s">
        <v>906</v>
      </c>
      <c r="AK268" t="s">
        <v>384</v>
      </c>
      <c r="AL268" t="s">
        <v>385</v>
      </c>
      <c r="AM268" t="s">
        <v>385</v>
      </c>
      <c r="AN268" t="s">
        <v>384</v>
      </c>
      <c r="AO268" t="s">
        <v>384</v>
      </c>
      <c r="AP268" t="s">
        <v>384</v>
      </c>
      <c r="AQ268" t="s">
        <v>384</v>
      </c>
      <c r="AR268" t="s">
        <v>384</v>
      </c>
      <c r="AS268" t="s">
        <v>384</v>
      </c>
      <c r="AT268" t="s">
        <v>384</v>
      </c>
      <c r="AU268" t="s">
        <v>384</v>
      </c>
      <c r="AV268" t="s">
        <v>384</v>
      </c>
      <c r="AW268" t="s">
        <v>384</v>
      </c>
      <c r="AX268" t="s">
        <v>385</v>
      </c>
      <c r="AY268" t="s">
        <v>384</v>
      </c>
      <c r="AZ268" t="s">
        <v>384</v>
      </c>
      <c r="BA268" t="s">
        <v>385</v>
      </c>
      <c r="BB268" t="s">
        <v>384</v>
      </c>
      <c r="BC268" t="s">
        <v>384</v>
      </c>
      <c r="BD268" t="s">
        <v>384</v>
      </c>
      <c r="BH268" t="s">
        <v>662</v>
      </c>
      <c r="BI268" t="s">
        <v>907</v>
      </c>
    </row>
    <row r="269" spans="1:61" x14ac:dyDescent="0.2">
      <c r="A269">
        <v>0</v>
      </c>
      <c r="B269">
        <v>1130</v>
      </c>
      <c r="D269" t="s">
        <v>348</v>
      </c>
      <c r="E269" t="s">
        <v>495</v>
      </c>
      <c r="F269" t="s">
        <v>908</v>
      </c>
      <c r="G269" t="s">
        <v>378</v>
      </c>
      <c r="J269" t="s">
        <v>87</v>
      </c>
      <c r="K269" s="21">
        <v>46325</v>
      </c>
      <c r="L269" s="21">
        <v>46326</v>
      </c>
      <c r="P269" t="s">
        <v>379</v>
      </c>
      <c r="Q269" t="s">
        <v>379</v>
      </c>
      <c r="S269" t="s">
        <v>380</v>
      </c>
      <c r="T269">
        <v>7609</v>
      </c>
      <c r="U269" t="s">
        <v>381</v>
      </c>
      <c r="AA269" t="s">
        <v>5</v>
      </c>
      <c r="AC269">
        <v>1130</v>
      </c>
      <c r="AD269">
        <v>46221</v>
      </c>
      <c r="AE269">
        <v>46161</v>
      </c>
      <c r="AF269">
        <v>102</v>
      </c>
      <c r="AG269">
        <v>102</v>
      </c>
      <c r="AH269" t="s">
        <v>519</v>
      </c>
      <c r="AI269" t="b">
        <v>0</v>
      </c>
      <c r="AJ269" t="s">
        <v>909</v>
      </c>
      <c r="AK269" t="s">
        <v>384</v>
      </c>
      <c r="AL269" t="s">
        <v>385</v>
      </c>
      <c r="AM269" t="s">
        <v>385</v>
      </c>
      <c r="AN269" t="s">
        <v>384</v>
      </c>
      <c r="AO269" t="s">
        <v>384</v>
      </c>
      <c r="AP269" t="s">
        <v>384</v>
      </c>
      <c r="AQ269" t="s">
        <v>384</v>
      </c>
      <c r="AR269" t="s">
        <v>384</v>
      </c>
      <c r="AS269" t="s">
        <v>384</v>
      </c>
      <c r="AT269" t="s">
        <v>384</v>
      </c>
      <c r="AU269" t="s">
        <v>384</v>
      </c>
      <c r="AV269" t="s">
        <v>384</v>
      </c>
      <c r="AW269" t="s">
        <v>384</v>
      </c>
      <c r="AX269" t="s">
        <v>385</v>
      </c>
      <c r="AY269" t="s">
        <v>384</v>
      </c>
      <c r="AZ269" t="s">
        <v>384</v>
      </c>
      <c r="BA269" t="s">
        <v>385</v>
      </c>
      <c r="BB269" t="s">
        <v>384</v>
      </c>
      <c r="BC269" t="s">
        <v>384</v>
      </c>
      <c r="BD269" t="s">
        <v>384</v>
      </c>
      <c r="BI269" t="s">
        <v>495</v>
      </c>
    </row>
    <row r="270" spans="1:61" x14ac:dyDescent="0.2">
      <c r="A270">
        <v>0</v>
      </c>
      <c r="B270">
        <v>1019</v>
      </c>
      <c r="D270" t="s">
        <v>348</v>
      </c>
      <c r="E270" t="s">
        <v>498</v>
      </c>
      <c r="F270" t="s">
        <v>499</v>
      </c>
      <c r="G270" t="s">
        <v>378</v>
      </c>
      <c r="J270" t="s">
        <v>87</v>
      </c>
      <c r="K270" s="21">
        <v>46328</v>
      </c>
      <c r="L270" s="21">
        <v>46328</v>
      </c>
      <c r="P270" t="s">
        <v>379</v>
      </c>
      <c r="Q270" t="s">
        <v>379</v>
      </c>
      <c r="S270" t="s">
        <v>380</v>
      </c>
      <c r="T270">
        <v>7166</v>
      </c>
      <c r="U270" t="s">
        <v>381</v>
      </c>
      <c r="AA270" t="s">
        <v>5</v>
      </c>
      <c r="AC270">
        <v>1019</v>
      </c>
      <c r="AD270">
        <v>46221</v>
      </c>
      <c r="AE270">
        <v>46161</v>
      </c>
      <c r="AF270">
        <v>102</v>
      </c>
      <c r="AG270">
        <v>102</v>
      </c>
      <c r="AH270" t="s">
        <v>519</v>
      </c>
      <c r="AI270" t="b">
        <v>0</v>
      </c>
      <c r="AJ270" t="s">
        <v>910</v>
      </c>
      <c r="AK270" t="s">
        <v>384</v>
      </c>
      <c r="AL270" t="s">
        <v>385</v>
      </c>
      <c r="AM270" t="s">
        <v>385</v>
      </c>
      <c r="AN270" t="s">
        <v>384</v>
      </c>
      <c r="AO270" t="s">
        <v>384</v>
      </c>
      <c r="AP270" t="s">
        <v>384</v>
      </c>
      <c r="AQ270" t="s">
        <v>384</v>
      </c>
      <c r="AR270" t="s">
        <v>384</v>
      </c>
      <c r="AS270" t="s">
        <v>384</v>
      </c>
      <c r="AT270" t="s">
        <v>384</v>
      </c>
      <c r="AU270" t="s">
        <v>384</v>
      </c>
      <c r="AV270" t="s">
        <v>384</v>
      </c>
      <c r="AW270" t="s">
        <v>384</v>
      </c>
      <c r="AX270" t="s">
        <v>385</v>
      </c>
      <c r="AY270" t="s">
        <v>384</v>
      </c>
      <c r="AZ270" t="s">
        <v>384</v>
      </c>
      <c r="BA270" t="s">
        <v>385</v>
      </c>
      <c r="BB270" t="s">
        <v>384</v>
      </c>
      <c r="BC270" t="s">
        <v>384</v>
      </c>
      <c r="BD270" t="s">
        <v>384</v>
      </c>
      <c r="BI270" t="s">
        <v>498</v>
      </c>
    </row>
    <row r="271" spans="1:61" x14ac:dyDescent="0.2">
      <c r="A271">
        <v>0</v>
      </c>
      <c r="B271">
        <v>1131</v>
      </c>
      <c r="D271" t="s">
        <v>348</v>
      </c>
      <c r="E271" t="s">
        <v>424</v>
      </c>
      <c r="F271" t="s">
        <v>551</v>
      </c>
      <c r="G271" t="s">
        <v>378</v>
      </c>
      <c r="J271" t="s">
        <v>87</v>
      </c>
      <c r="K271" s="21">
        <v>46329</v>
      </c>
      <c r="L271" s="21">
        <v>46329</v>
      </c>
      <c r="P271" t="s">
        <v>379</v>
      </c>
      <c r="Q271" t="s">
        <v>379</v>
      </c>
      <c r="S271" t="s">
        <v>380</v>
      </c>
      <c r="T271">
        <v>7610</v>
      </c>
      <c r="U271" t="s">
        <v>381</v>
      </c>
      <c r="AA271" t="s">
        <v>5</v>
      </c>
      <c r="AC271">
        <v>1131</v>
      </c>
      <c r="AD271">
        <v>46221</v>
      </c>
      <c r="AE271">
        <v>46161</v>
      </c>
      <c r="AF271">
        <v>102</v>
      </c>
      <c r="AG271">
        <v>102</v>
      </c>
      <c r="AH271" t="s">
        <v>519</v>
      </c>
      <c r="AI271" t="b">
        <v>0</v>
      </c>
      <c r="AJ271" t="s">
        <v>911</v>
      </c>
      <c r="AK271" t="s">
        <v>384</v>
      </c>
      <c r="AL271" t="s">
        <v>385</v>
      </c>
      <c r="AM271" t="s">
        <v>385</v>
      </c>
      <c r="AN271" t="s">
        <v>384</v>
      </c>
      <c r="AO271" t="s">
        <v>384</v>
      </c>
      <c r="AP271" t="s">
        <v>384</v>
      </c>
      <c r="AQ271" t="s">
        <v>384</v>
      </c>
      <c r="AR271" t="s">
        <v>384</v>
      </c>
      <c r="AS271" t="s">
        <v>384</v>
      </c>
      <c r="AT271" t="s">
        <v>384</v>
      </c>
      <c r="AU271" t="s">
        <v>384</v>
      </c>
      <c r="AV271" t="s">
        <v>384</v>
      </c>
      <c r="AW271" t="s">
        <v>384</v>
      </c>
      <c r="AX271" t="s">
        <v>385</v>
      </c>
      <c r="AY271" t="s">
        <v>384</v>
      </c>
      <c r="AZ271" t="s">
        <v>384</v>
      </c>
      <c r="BA271" t="s">
        <v>385</v>
      </c>
      <c r="BB271" t="s">
        <v>384</v>
      </c>
      <c r="BC271" t="s">
        <v>384</v>
      </c>
      <c r="BD271" t="s">
        <v>384</v>
      </c>
      <c r="BI271" t="s">
        <v>424</v>
      </c>
    </row>
    <row r="272" spans="1:61" x14ac:dyDescent="0.2">
      <c r="A272">
        <v>0</v>
      </c>
      <c r="B272">
        <v>911</v>
      </c>
      <c r="D272" t="s">
        <v>348</v>
      </c>
      <c r="E272" t="s">
        <v>489</v>
      </c>
      <c r="F272" t="s">
        <v>490</v>
      </c>
      <c r="G272" t="s">
        <v>378</v>
      </c>
      <c r="J272" t="s">
        <v>87</v>
      </c>
      <c r="K272" s="21">
        <v>46332</v>
      </c>
      <c r="L272" s="21">
        <v>46332</v>
      </c>
      <c r="P272" t="s">
        <v>379</v>
      </c>
      <c r="Q272" t="s">
        <v>379</v>
      </c>
      <c r="T272">
        <v>5700</v>
      </c>
      <c r="U272" t="s">
        <v>381</v>
      </c>
      <c r="Y272" t="b">
        <v>1</v>
      </c>
      <c r="AA272" t="s">
        <v>94</v>
      </c>
      <c r="AC272">
        <v>911</v>
      </c>
      <c r="AD272">
        <v>46225</v>
      </c>
      <c r="AE272">
        <v>46161</v>
      </c>
      <c r="AF272">
        <v>102</v>
      </c>
      <c r="AG272">
        <v>102</v>
      </c>
      <c r="AH272" t="s">
        <v>414</v>
      </c>
      <c r="AI272" t="b">
        <v>0</v>
      </c>
      <c r="AJ272" t="s">
        <v>912</v>
      </c>
      <c r="AK272" t="s">
        <v>384</v>
      </c>
      <c r="AL272" t="s">
        <v>385</v>
      </c>
      <c r="AM272" t="s">
        <v>385</v>
      </c>
      <c r="AN272" t="s">
        <v>384</v>
      </c>
      <c r="AO272" t="s">
        <v>384</v>
      </c>
      <c r="AP272" t="s">
        <v>384</v>
      </c>
      <c r="AQ272" t="s">
        <v>384</v>
      </c>
      <c r="AR272" t="s">
        <v>384</v>
      </c>
      <c r="AS272" t="s">
        <v>384</v>
      </c>
      <c r="AT272" t="s">
        <v>384</v>
      </c>
      <c r="AU272" t="s">
        <v>384</v>
      </c>
      <c r="AV272" t="s">
        <v>384</v>
      </c>
      <c r="AW272" t="s">
        <v>384</v>
      </c>
      <c r="AX272" t="s">
        <v>385</v>
      </c>
      <c r="AY272" t="s">
        <v>384</v>
      </c>
      <c r="AZ272" t="s">
        <v>384</v>
      </c>
      <c r="BA272" t="s">
        <v>385</v>
      </c>
      <c r="BB272" t="s">
        <v>384</v>
      </c>
      <c r="BC272" t="s">
        <v>384</v>
      </c>
      <c r="BD272" t="s">
        <v>384</v>
      </c>
      <c r="BI272" t="s">
        <v>489</v>
      </c>
    </row>
    <row r="273" spans="1:61" x14ac:dyDescent="0.2">
      <c r="A273">
        <v>0</v>
      </c>
      <c r="B273">
        <v>1132</v>
      </c>
      <c r="D273" t="s">
        <v>348</v>
      </c>
      <c r="E273" t="s">
        <v>757</v>
      </c>
      <c r="F273" t="s">
        <v>758</v>
      </c>
      <c r="G273" t="s">
        <v>378</v>
      </c>
      <c r="J273" t="s">
        <v>87</v>
      </c>
      <c r="K273" s="21">
        <v>46333</v>
      </c>
      <c r="L273" s="21">
        <v>46333</v>
      </c>
      <c r="P273" t="s">
        <v>379</v>
      </c>
      <c r="Q273" t="s">
        <v>379</v>
      </c>
      <c r="S273" t="s">
        <v>380</v>
      </c>
      <c r="T273">
        <v>7611</v>
      </c>
      <c r="U273" t="s">
        <v>381</v>
      </c>
      <c r="AA273" t="s">
        <v>5</v>
      </c>
      <c r="AC273">
        <v>1132</v>
      </c>
      <c r="AD273">
        <v>46221</v>
      </c>
      <c r="AE273">
        <v>46161</v>
      </c>
      <c r="AF273">
        <v>102</v>
      </c>
      <c r="AG273">
        <v>102</v>
      </c>
      <c r="AH273" t="s">
        <v>519</v>
      </c>
      <c r="AI273" t="b">
        <v>0</v>
      </c>
      <c r="AJ273" t="s">
        <v>913</v>
      </c>
      <c r="AK273" t="s">
        <v>384</v>
      </c>
      <c r="AL273" t="s">
        <v>385</v>
      </c>
      <c r="AM273" t="s">
        <v>385</v>
      </c>
      <c r="AN273" t="s">
        <v>384</v>
      </c>
      <c r="AO273" t="s">
        <v>384</v>
      </c>
      <c r="AP273" t="s">
        <v>384</v>
      </c>
      <c r="AQ273" t="s">
        <v>384</v>
      </c>
      <c r="AR273" t="s">
        <v>384</v>
      </c>
      <c r="AS273" t="s">
        <v>384</v>
      </c>
      <c r="AT273" t="s">
        <v>384</v>
      </c>
      <c r="AU273" t="s">
        <v>384</v>
      </c>
      <c r="AV273" t="s">
        <v>384</v>
      </c>
      <c r="AW273" t="s">
        <v>384</v>
      </c>
      <c r="AX273" t="s">
        <v>385</v>
      </c>
      <c r="AY273" t="s">
        <v>384</v>
      </c>
      <c r="AZ273" t="s">
        <v>384</v>
      </c>
      <c r="BA273" t="s">
        <v>385</v>
      </c>
      <c r="BB273" t="s">
        <v>384</v>
      </c>
      <c r="BC273" t="s">
        <v>384</v>
      </c>
      <c r="BD273" t="s">
        <v>384</v>
      </c>
      <c r="BI273" t="s">
        <v>757</v>
      </c>
    </row>
    <row r="274" spans="1:61" x14ac:dyDescent="0.2">
      <c r="A274">
        <v>0</v>
      </c>
      <c r="B274">
        <v>924</v>
      </c>
      <c r="D274" t="s">
        <v>348</v>
      </c>
      <c r="E274" t="s">
        <v>914</v>
      </c>
      <c r="F274" t="s">
        <v>416</v>
      </c>
      <c r="G274" t="s">
        <v>378</v>
      </c>
      <c r="J274" t="s">
        <v>87</v>
      </c>
      <c r="K274" s="21">
        <v>46336</v>
      </c>
      <c r="L274" s="21">
        <v>46336</v>
      </c>
      <c r="P274" t="s">
        <v>379</v>
      </c>
      <c r="Q274" t="s">
        <v>379</v>
      </c>
      <c r="T274">
        <v>5714</v>
      </c>
      <c r="U274" t="s">
        <v>381</v>
      </c>
      <c r="Y274" t="b">
        <v>1</v>
      </c>
      <c r="AA274" t="s">
        <v>94</v>
      </c>
      <c r="AC274">
        <v>924</v>
      </c>
      <c r="AD274">
        <v>46225</v>
      </c>
      <c r="AE274">
        <v>46161</v>
      </c>
      <c r="AF274">
        <v>102</v>
      </c>
      <c r="AG274">
        <v>102</v>
      </c>
      <c r="AH274" t="s">
        <v>414</v>
      </c>
      <c r="AI274" t="b">
        <v>0</v>
      </c>
      <c r="AJ274" t="s">
        <v>915</v>
      </c>
      <c r="AK274" t="s">
        <v>384</v>
      </c>
      <c r="AL274" t="s">
        <v>385</v>
      </c>
      <c r="AM274" t="s">
        <v>385</v>
      </c>
      <c r="AN274" t="s">
        <v>384</v>
      </c>
      <c r="AO274" t="s">
        <v>384</v>
      </c>
      <c r="AP274" t="s">
        <v>384</v>
      </c>
      <c r="AQ274" t="s">
        <v>384</v>
      </c>
      <c r="AR274" t="s">
        <v>384</v>
      </c>
      <c r="AS274" t="s">
        <v>384</v>
      </c>
      <c r="AT274" t="s">
        <v>384</v>
      </c>
      <c r="AU274" t="s">
        <v>384</v>
      </c>
      <c r="AV274" t="s">
        <v>384</v>
      </c>
      <c r="AW274" t="s">
        <v>384</v>
      </c>
      <c r="AX274" t="s">
        <v>385</v>
      </c>
      <c r="AY274" t="s">
        <v>384</v>
      </c>
      <c r="AZ274" t="s">
        <v>384</v>
      </c>
      <c r="BA274" t="s">
        <v>385</v>
      </c>
      <c r="BB274" t="s">
        <v>384</v>
      </c>
      <c r="BC274" t="s">
        <v>384</v>
      </c>
      <c r="BD274" t="s">
        <v>384</v>
      </c>
      <c r="BI274" t="s">
        <v>914</v>
      </c>
    </row>
    <row r="275" spans="1:61" x14ac:dyDescent="0.2">
      <c r="A275">
        <v>0</v>
      </c>
      <c r="B275">
        <v>1135</v>
      </c>
      <c r="D275" t="s">
        <v>348</v>
      </c>
      <c r="E275" t="s">
        <v>916</v>
      </c>
      <c r="F275" t="s">
        <v>917</v>
      </c>
      <c r="G275" t="s">
        <v>378</v>
      </c>
      <c r="J275" t="s">
        <v>87</v>
      </c>
      <c r="K275" s="21">
        <v>46338</v>
      </c>
      <c r="L275" s="21">
        <v>46340</v>
      </c>
      <c r="P275" t="s">
        <v>379</v>
      </c>
      <c r="Q275" t="s">
        <v>379</v>
      </c>
      <c r="S275" t="s">
        <v>380</v>
      </c>
      <c r="T275">
        <v>7614</v>
      </c>
      <c r="U275" t="s">
        <v>381</v>
      </c>
      <c r="AA275" t="s">
        <v>5</v>
      </c>
      <c r="AC275">
        <v>1135</v>
      </c>
      <c r="AD275">
        <v>46221</v>
      </c>
      <c r="AE275">
        <v>46161</v>
      </c>
      <c r="AF275">
        <v>102</v>
      </c>
      <c r="AG275">
        <v>102</v>
      </c>
      <c r="AH275" t="s">
        <v>519</v>
      </c>
      <c r="AI275" t="b">
        <v>0</v>
      </c>
      <c r="AJ275" t="s">
        <v>918</v>
      </c>
      <c r="AK275" t="s">
        <v>384</v>
      </c>
      <c r="AL275" t="s">
        <v>385</v>
      </c>
      <c r="AM275" t="s">
        <v>385</v>
      </c>
      <c r="AN275" t="s">
        <v>384</v>
      </c>
      <c r="AO275" t="s">
        <v>384</v>
      </c>
      <c r="AP275" t="s">
        <v>384</v>
      </c>
      <c r="AQ275" t="s">
        <v>384</v>
      </c>
      <c r="AR275" t="s">
        <v>384</v>
      </c>
      <c r="AS275" t="s">
        <v>384</v>
      </c>
      <c r="AT275" t="s">
        <v>384</v>
      </c>
      <c r="AU275" t="s">
        <v>384</v>
      </c>
      <c r="AV275" t="s">
        <v>384</v>
      </c>
      <c r="AW275" t="s">
        <v>384</v>
      </c>
      <c r="AX275" t="s">
        <v>385</v>
      </c>
      <c r="AY275" t="s">
        <v>384</v>
      </c>
      <c r="AZ275" t="s">
        <v>384</v>
      </c>
      <c r="BA275" t="s">
        <v>385</v>
      </c>
      <c r="BB275" t="s">
        <v>384</v>
      </c>
      <c r="BC275" t="s">
        <v>384</v>
      </c>
      <c r="BD275" t="s">
        <v>384</v>
      </c>
      <c r="BI275" t="s">
        <v>916</v>
      </c>
    </row>
    <row r="276" spans="1:61" x14ac:dyDescent="0.2">
      <c r="A276">
        <v>0</v>
      </c>
      <c r="B276">
        <v>898</v>
      </c>
      <c r="D276" t="s">
        <v>348</v>
      </c>
      <c r="E276" t="s">
        <v>534</v>
      </c>
      <c r="F276" t="s">
        <v>535</v>
      </c>
      <c r="G276" t="s">
        <v>378</v>
      </c>
      <c r="J276" t="s">
        <v>87</v>
      </c>
      <c r="K276" s="21">
        <v>46338</v>
      </c>
      <c r="L276" s="21">
        <v>46340</v>
      </c>
      <c r="P276" t="s">
        <v>379</v>
      </c>
      <c r="Q276" t="s">
        <v>379</v>
      </c>
      <c r="T276">
        <v>5687</v>
      </c>
      <c r="U276" t="s">
        <v>381</v>
      </c>
      <c r="Y276" t="b">
        <v>1</v>
      </c>
      <c r="AA276" t="s">
        <v>94</v>
      </c>
      <c r="AC276">
        <v>898</v>
      </c>
      <c r="AD276">
        <v>46225</v>
      </c>
      <c r="AE276">
        <v>46161</v>
      </c>
      <c r="AF276">
        <v>102</v>
      </c>
      <c r="AG276">
        <v>102</v>
      </c>
      <c r="AH276" t="s">
        <v>414</v>
      </c>
      <c r="AI276" t="b">
        <v>0</v>
      </c>
      <c r="AJ276" t="s">
        <v>919</v>
      </c>
      <c r="AK276" t="s">
        <v>384</v>
      </c>
      <c r="AL276" t="s">
        <v>385</v>
      </c>
      <c r="AM276" t="s">
        <v>385</v>
      </c>
      <c r="AN276" t="s">
        <v>384</v>
      </c>
      <c r="AO276" t="s">
        <v>384</v>
      </c>
      <c r="AP276" t="s">
        <v>384</v>
      </c>
      <c r="AQ276" t="s">
        <v>384</v>
      </c>
      <c r="AR276" t="s">
        <v>384</v>
      </c>
      <c r="AS276" t="s">
        <v>384</v>
      </c>
      <c r="AT276" t="s">
        <v>384</v>
      </c>
      <c r="AU276" t="s">
        <v>384</v>
      </c>
      <c r="AV276" t="s">
        <v>384</v>
      </c>
      <c r="AW276" t="s">
        <v>384</v>
      </c>
      <c r="AX276" t="s">
        <v>385</v>
      </c>
      <c r="AY276" t="s">
        <v>384</v>
      </c>
      <c r="AZ276" t="s">
        <v>384</v>
      </c>
      <c r="BA276" t="s">
        <v>385</v>
      </c>
      <c r="BB276" t="s">
        <v>384</v>
      </c>
      <c r="BC276" t="s">
        <v>384</v>
      </c>
      <c r="BD276" t="s">
        <v>384</v>
      </c>
      <c r="BI276" t="s">
        <v>534</v>
      </c>
    </row>
    <row r="277" spans="1:61" x14ac:dyDescent="0.2">
      <c r="A277">
        <v>0</v>
      </c>
      <c r="B277">
        <v>1134</v>
      </c>
      <c r="D277" t="s">
        <v>348</v>
      </c>
      <c r="E277" t="s">
        <v>431</v>
      </c>
      <c r="F277" t="s">
        <v>920</v>
      </c>
      <c r="G277" t="s">
        <v>378</v>
      </c>
      <c r="J277" t="s">
        <v>87</v>
      </c>
      <c r="K277" s="21">
        <v>46338</v>
      </c>
      <c r="L277" s="21">
        <v>46340</v>
      </c>
      <c r="P277" t="s">
        <v>379</v>
      </c>
      <c r="Q277" t="s">
        <v>379</v>
      </c>
      <c r="S277" t="s">
        <v>380</v>
      </c>
      <c r="T277">
        <v>7613</v>
      </c>
      <c r="U277" t="s">
        <v>381</v>
      </c>
      <c r="AA277" t="s">
        <v>5</v>
      </c>
      <c r="AC277">
        <v>1134</v>
      </c>
      <c r="AD277">
        <v>46221</v>
      </c>
      <c r="AE277">
        <v>46161</v>
      </c>
      <c r="AF277">
        <v>102</v>
      </c>
      <c r="AG277">
        <v>102</v>
      </c>
      <c r="AH277" t="s">
        <v>519</v>
      </c>
      <c r="AI277" t="b">
        <v>0</v>
      </c>
      <c r="AJ277" t="s">
        <v>921</v>
      </c>
      <c r="AK277" t="s">
        <v>384</v>
      </c>
      <c r="AL277" t="s">
        <v>385</v>
      </c>
      <c r="AM277" t="s">
        <v>385</v>
      </c>
      <c r="AN277" t="s">
        <v>384</v>
      </c>
      <c r="AO277" t="s">
        <v>384</v>
      </c>
      <c r="AP277" t="s">
        <v>384</v>
      </c>
      <c r="AQ277" t="s">
        <v>384</v>
      </c>
      <c r="AR277" t="s">
        <v>384</v>
      </c>
      <c r="AS277" t="s">
        <v>384</v>
      </c>
      <c r="AT277" t="s">
        <v>384</v>
      </c>
      <c r="AU277" t="s">
        <v>384</v>
      </c>
      <c r="AV277" t="s">
        <v>384</v>
      </c>
      <c r="AW277" t="s">
        <v>384</v>
      </c>
      <c r="AX277" t="s">
        <v>385</v>
      </c>
      <c r="AY277" t="s">
        <v>384</v>
      </c>
      <c r="AZ277" t="s">
        <v>384</v>
      </c>
      <c r="BA277" t="s">
        <v>385</v>
      </c>
      <c r="BB277" t="s">
        <v>384</v>
      </c>
      <c r="BC277" t="s">
        <v>384</v>
      </c>
      <c r="BD277" t="s">
        <v>384</v>
      </c>
      <c r="BI277" t="s">
        <v>431</v>
      </c>
    </row>
    <row r="278" spans="1:61" x14ac:dyDescent="0.2">
      <c r="A278">
        <v>0</v>
      </c>
      <c r="B278">
        <v>1133</v>
      </c>
      <c r="D278" t="s">
        <v>348</v>
      </c>
      <c r="E278" t="s">
        <v>502</v>
      </c>
      <c r="F278" t="s">
        <v>922</v>
      </c>
      <c r="G278" t="s">
        <v>378</v>
      </c>
      <c r="J278" t="s">
        <v>87</v>
      </c>
      <c r="K278" s="21">
        <v>46338</v>
      </c>
      <c r="L278" s="21">
        <v>46340</v>
      </c>
      <c r="P278" t="s">
        <v>379</v>
      </c>
      <c r="Q278" t="s">
        <v>379</v>
      </c>
      <c r="S278" t="s">
        <v>380</v>
      </c>
      <c r="T278">
        <v>7612</v>
      </c>
      <c r="U278" t="s">
        <v>381</v>
      </c>
      <c r="AA278" t="s">
        <v>5</v>
      </c>
      <c r="AC278">
        <v>1133</v>
      </c>
      <c r="AD278">
        <v>46221</v>
      </c>
      <c r="AE278">
        <v>46161</v>
      </c>
      <c r="AF278">
        <v>102</v>
      </c>
      <c r="AG278">
        <v>102</v>
      </c>
      <c r="AH278" t="s">
        <v>519</v>
      </c>
      <c r="AI278" t="b">
        <v>0</v>
      </c>
      <c r="AJ278" t="s">
        <v>923</v>
      </c>
      <c r="AK278" t="s">
        <v>384</v>
      </c>
      <c r="AL278" t="s">
        <v>385</v>
      </c>
      <c r="AM278" t="s">
        <v>385</v>
      </c>
      <c r="AN278" t="s">
        <v>384</v>
      </c>
      <c r="AO278" t="s">
        <v>384</v>
      </c>
      <c r="AP278" t="s">
        <v>384</v>
      </c>
      <c r="AQ278" t="s">
        <v>384</v>
      </c>
      <c r="AR278" t="s">
        <v>384</v>
      </c>
      <c r="AS278" t="s">
        <v>384</v>
      </c>
      <c r="AT278" t="s">
        <v>384</v>
      </c>
      <c r="AU278" t="s">
        <v>384</v>
      </c>
      <c r="AV278" t="s">
        <v>384</v>
      </c>
      <c r="AW278" t="s">
        <v>384</v>
      </c>
      <c r="AX278" t="s">
        <v>385</v>
      </c>
      <c r="AY278" t="s">
        <v>384</v>
      </c>
      <c r="AZ278" t="s">
        <v>384</v>
      </c>
      <c r="BA278" t="s">
        <v>385</v>
      </c>
      <c r="BB278" t="s">
        <v>384</v>
      </c>
      <c r="BC278" t="s">
        <v>384</v>
      </c>
      <c r="BD278" t="s">
        <v>384</v>
      </c>
      <c r="BI278" t="s">
        <v>502</v>
      </c>
    </row>
    <row r="279" spans="1:61" x14ac:dyDescent="0.2">
      <c r="A279">
        <v>0</v>
      </c>
      <c r="B279">
        <v>1136</v>
      </c>
      <c r="D279" t="s">
        <v>348</v>
      </c>
      <c r="E279" t="s">
        <v>386</v>
      </c>
      <c r="F279" t="s">
        <v>387</v>
      </c>
      <c r="G279" t="s">
        <v>378</v>
      </c>
      <c r="J279" t="s">
        <v>87</v>
      </c>
      <c r="K279" s="21">
        <v>46339</v>
      </c>
      <c r="L279" s="21">
        <v>46339</v>
      </c>
      <c r="P279" t="s">
        <v>379</v>
      </c>
      <c r="Q279" t="s">
        <v>379</v>
      </c>
      <c r="S279" t="s">
        <v>380</v>
      </c>
      <c r="T279">
        <v>7615</v>
      </c>
      <c r="U279" t="s">
        <v>381</v>
      </c>
      <c r="AA279" t="s">
        <v>5</v>
      </c>
      <c r="AC279">
        <v>1136</v>
      </c>
      <c r="AD279">
        <v>46221</v>
      </c>
      <c r="AE279">
        <v>46161</v>
      </c>
      <c r="AF279">
        <v>102</v>
      </c>
      <c r="AG279">
        <v>102</v>
      </c>
      <c r="AH279" t="s">
        <v>519</v>
      </c>
      <c r="AI279" t="b">
        <v>0</v>
      </c>
      <c r="AJ279" t="s">
        <v>924</v>
      </c>
      <c r="AK279" t="s">
        <v>384</v>
      </c>
      <c r="AL279" t="s">
        <v>385</v>
      </c>
      <c r="AM279" t="s">
        <v>385</v>
      </c>
      <c r="AN279" t="s">
        <v>384</v>
      </c>
      <c r="AO279" t="s">
        <v>384</v>
      </c>
      <c r="AP279" t="s">
        <v>384</v>
      </c>
      <c r="AQ279" t="s">
        <v>384</v>
      </c>
      <c r="AR279" t="s">
        <v>384</v>
      </c>
      <c r="AS279" t="s">
        <v>384</v>
      </c>
      <c r="AT279" t="s">
        <v>384</v>
      </c>
      <c r="AU279" t="s">
        <v>384</v>
      </c>
      <c r="AV279" t="s">
        <v>384</v>
      </c>
      <c r="AW279" t="s">
        <v>384</v>
      </c>
      <c r="AX279" t="s">
        <v>385</v>
      </c>
      <c r="AY279" t="s">
        <v>384</v>
      </c>
      <c r="AZ279" t="s">
        <v>384</v>
      </c>
      <c r="BA279" t="s">
        <v>385</v>
      </c>
      <c r="BB279" t="s">
        <v>384</v>
      </c>
      <c r="BC279" t="s">
        <v>384</v>
      </c>
      <c r="BD279" t="s">
        <v>384</v>
      </c>
      <c r="BI279" t="s">
        <v>386</v>
      </c>
    </row>
    <row r="280" spans="1:61" x14ac:dyDescent="0.2">
      <c r="A280">
        <v>0</v>
      </c>
      <c r="B280">
        <v>1001</v>
      </c>
      <c r="D280" t="s">
        <v>348</v>
      </c>
      <c r="E280" t="s">
        <v>405</v>
      </c>
      <c r="F280" t="s">
        <v>406</v>
      </c>
      <c r="G280" t="s">
        <v>378</v>
      </c>
      <c r="J280" t="s">
        <v>87</v>
      </c>
      <c r="K280" s="21">
        <v>46340</v>
      </c>
      <c r="L280" s="21">
        <v>46340</v>
      </c>
      <c r="P280" t="s">
        <v>379</v>
      </c>
      <c r="Q280" t="s">
        <v>379</v>
      </c>
      <c r="S280" t="s">
        <v>407</v>
      </c>
      <c r="T280">
        <v>5791</v>
      </c>
      <c r="U280" t="s">
        <v>381</v>
      </c>
      <c r="Y280" t="b">
        <v>1</v>
      </c>
      <c r="AA280" t="s">
        <v>94</v>
      </c>
      <c r="AC280">
        <v>1001</v>
      </c>
      <c r="AD280">
        <v>46225</v>
      </c>
      <c r="AE280">
        <v>46161</v>
      </c>
      <c r="AF280">
        <v>102</v>
      </c>
      <c r="AG280">
        <v>102</v>
      </c>
      <c r="AH280" t="s">
        <v>414</v>
      </c>
      <c r="AI280" t="b">
        <v>0</v>
      </c>
      <c r="AJ280" t="s">
        <v>925</v>
      </c>
      <c r="AK280" t="s">
        <v>384</v>
      </c>
      <c r="AL280" t="s">
        <v>385</v>
      </c>
      <c r="AM280" t="s">
        <v>385</v>
      </c>
      <c r="AN280" t="s">
        <v>384</v>
      </c>
      <c r="AO280" t="s">
        <v>384</v>
      </c>
      <c r="AP280" t="s">
        <v>384</v>
      </c>
      <c r="AQ280" t="s">
        <v>384</v>
      </c>
      <c r="AR280" t="s">
        <v>384</v>
      </c>
      <c r="AS280" t="s">
        <v>384</v>
      </c>
      <c r="AT280" t="s">
        <v>384</v>
      </c>
      <c r="AU280" t="s">
        <v>384</v>
      </c>
      <c r="AV280" t="s">
        <v>384</v>
      </c>
      <c r="AW280" t="s">
        <v>384</v>
      </c>
      <c r="AX280" t="s">
        <v>385</v>
      </c>
      <c r="AY280" t="s">
        <v>384</v>
      </c>
      <c r="AZ280" t="s">
        <v>384</v>
      </c>
      <c r="BA280" t="s">
        <v>385</v>
      </c>
      <c r="BB280" t="s">
        <v>384</v>
      </c>
      <c r="BC280" t="s">
        <v>384</v>
      </c>
      <c r="BD280" t="s">
        <v>384</v>
      </c>
      <c r="BI280" t="s">
        <v>405</v>
      </c>
    </row>
    <row r="281" spans="1:61" x14ac:dyDescent="0.2">
      <c r="A281">
        <v>0</v>
      </c>
      <c r="B281">
        <v>960</v>
      </c>
      <c r="D281" t="s">
        <v>348</v>
      </c>
      <c r="E281" t="s">
        <v>409</v>
      </c>
      <c r="F281" t="s">
        <v>410</v>
      </c>
      <c r="G281" t="s">
        <v>378</v>
      </c>
      <c r="J281" t="s">
        <v>87</v>
      </c>
      <c r="K281" s="21">
        <v>46341</v>
      </c>
      <c r="L281" s="21">
        <v>46341</v>
      </c>
      <c r="P281" t="s">
        <v>379</v>
      </c>
      <c r="Q281" t="s">
        <v>379</v>
      </c>
      <c r="T281">
        <v>5750</v>
      </c>
      <c r="U281" t="s">
        <v>381</v>
      </c>
      <c r="AA281" t="s">
        <v>5</v>
      </c>
      <c r="AC281">
        <v>960</v>
      </c>
      <c r="AD281">
        <v>46221</v>
      </c>
      <c r="AE281">
        <v>46161</v>
      </c>
      <c r="AF281">
        <v>102</v>
      </c>
      <c r="AG281">
        <v>102</v>
      </c>
      <c r="AH281" t="s">
        <v>519</v>
      </c>
      <c r="AI281" t="b">
        <v>0</v>
      </c>
      <c r="AJ281" t="s">
        <v>926</v>
      </c>
      <c r="AK281" t="s">
        <v>384</v>
      </c>
      <c r="AL281" t="s">
        <v>385</v>
      </c>
      <c r="AM281" t="s">
        <v>385</v>
      </c>
      <c r="AN281" t="s">
        <v>384</v>
      </c>
      <c r="AO281" t="s">
        <v>384</v>
      </c>
      <c r="AP281" t="s">
        <v>384</v>
      </c>
      <c r="AQ281" t="s">
        <v>384</v>
      </c>
      <c r="AR281" t="s">
        <v>384</v>
      </c>
      <c r="AS281" t="s">
        <v>384</v>
      </c>
      <c r="AT281" t="s">
        <v>384</v>
      </c>
      <c r="AU281" t="s">
        <v>384</v>
      </c>
      <c r="AV281" t="s">
        <v>384</v>
      </c>
      <c r="AW281" t="s">
        <v>384</v>
      </c>
      <c r="AX281" t="s">
        <v>385</v>
      </c>
      <c r="AY281" t="s">
        <v>384</v>
      </c>
      <c r="AZ281" t="s">
        <v>384</v>
      </c>
      <c r="BA281" t="s">
        <v>385</v>
      </c>
      <c r="BB281" t="s">
        <v>384</v>
      </c>
      <c r="BC281" t="s">
        <v>384</v>
      </c>
      <c r="BD281" t="s">
        <v>384</v>
      </c>
      <c r="BI281" t="s">
        <v>409</v>
      </c>
    </row>
    <row r="282" spans="1:61" x14ac:dyDescent="0.2">
      <c r="A282">
        <v>0</v>
      </c>
      <c r="B282">
        <v>979</v>
      </c>
      <c r="D282" t="s">
        <v>348</v>
      </c>
      <c r="E282" t="s">
        <v>440</v>
      </c>
      <c r="F282" t="s">
        <v>406</v>
      </c>
      <c r="G282" t="s">
        <v>378</v>
      </c>
      <c r="J282" t="s">
        <v>87</v>
      </c>
      <c r="K282" s="21">
        <v>46341</v>
      </c>
      <c r="L282" s="21">
        <v>46341</v>
      </c>
      <c r="P282" t="s">
        <v>379</v>
      </c>
      <c r="Q282" t="s">
        <v>379</v>
      </c>
      <c r="T282">
        <v>5769</v>
      </c>
      <c r="U282" t="s">
        <v>381</v>
      </c>
      <c r="Y282" t="b">
        <v>1</v>
      </c>
      <c r="Z282" t="s">
        <v>413</v>
      </c>
      <c r="AA282" t="s">
        <v>94</v>
      </c>
      <c r="AC282">
        <v>979</v>
      </c>
      <c r="AD282">
        <v>46225</v>
      </c>
      <c r="AE282">
        <v>46161</v>
      </c>
      <c r="AF282">
        <v>102</v>
      </c>
      <c r="AG282">
        <v>102</v>
      </c>
      <c r="AH282" t="s">
        <v>676</v>
      </c>
      <c r="AI282" t="b">
        <v>0</v>
      </c>
      <c r="AJ282" t="s">
        <v>927</v>
      </c>
      <c r="AK282" t="s">
        <v>384</v>
      </c>
      <c r="AL282" t="s">
        <v>385</v>
      </c>
      <c r="AM282" t="s">
        <v>385</v>
      </c>
      <c r="AN282" t="s">
        <v>384</v>
      </c>
      <c r="AO282" t="s">
        <v>384</v>
      </c>
      <c r="AP282" t="s">
        <v>384</v>
      </c>
      <c r="AQ282" t="s">
        <v>384</v>
      </c>
      <c r="AR282" t="s">
        <v>384</v>
      </c>
      <c r="AS282" t="s">
        <v>384</v>
      </c>
      <c r="AT282" t="s">
        <v>384</v>
      </c>
      <c r="AU282" t="s">
        <v>384</v>
      </c>
      <c r="AV282" t="s">
        <v>384</v>
      </c>
      <c r="AW282" t="s">
        <v>384</v>
      </c>
      <c r="AX282" t="s">
        <v>385</v>
      </c>
      <c r="AY282" t="s">
        <v>384</v>
      </c>
      <c r="AZ282" t="s">
        <v>384</v>
      </c>
      <c r="BA282" t="s">
        <v>385</v>
      </c>
      <c r="BB282" t="s">
        <v>384</v>
      </c>
      <c r="BC282" t="s">
        <v>384</v>
      </c>
      <c r="BD282" t="s">
        <v>384</v>
      </c>
      <c r="BI282" t="s">
        <v>440</v>
      </c>
    </row>
    <row r="283" spans="1:61" x14ac:dyDescent="0.2">
      <c r="A283">
        <v>0</v>
      </c>
      <c r="B283">
        <v>989</v>
      </c>
      <c r="D283" t="s">
        <v>348</v>
      </c>
      <c r="E283" t="s">
        <v>442</v>
      </c>
      <c r="F283" t="s">
        <v>406</v>
      </c>
      <c r="G283" t="s">
        <v>378</v>
      </c>
      <c r="J283" t="s">
        <v>87</v>
      </c>
      <c r="K283" s="21">
        <v>46343</v>
      </c>
      <c r="L283" s="21">
        <v>46343</v>
      </c>
      <c r="P283" t="s">
        <v>379</v>
      </c>
      <c r="Q283" t="s">
        <v>379</v>
      </c>
      <c r="T283">
        <v>5779</v>
      </c>
      <c r="U283" t="s">
        <v>381</v>
      </c>
      <c r="Y283" t="b">
        <v>1</v>
      </c>
      <c r="AA283" t="s">
        <v>94</v>
      </c>
      <c r="AC283">
        <v>989</v>
      </c>
      <c r="AD283">
        <v>46225</v>
      </c>
      <c r="AE283">
        <v>46161</v>
      </c>
      <c r="AF283">
        <v>102</v>
      </c>
      <c r="AG283">
        <v>102</v>
      </c>
      <c r="AH283" t="s">
        <v>414</v>
      </c>
      <c r="AI283" t="b">
        <v>0</v>
      </c>
      <c r="AJ283" t="s">
        <v>928</v>
      </c>
      <c r="AK283" t="s">
        <v>384</v>
      </c>
      <c r="AL283" t="s">
        <v>385</v>
      </c>
      <c r="AM283" t="s">
        <v>385</v>
      </c>
      <c r="AN283" t="s">
        <v>384</v>
      </c>
      <c r="AO283" t="s">
        <v>384</v>
      </c>
      <c r="AP283" t="s">
        <v>384</v>
      </c>
      <c r="AQ283" t="s">
        <v>384</v>
      </c>
      <c r="AR283" t="s">
        <v>384</v>
      </c>
      <c r="AS283" t="s">
        <v>384</v>
      </c>
      <c r="AT283" t="s">
        <v>384</v>
      </c>
      <c r="AU283" t="s">
        <v>384</v>
      </c>
      <c r="AV283" t="s">
        <v>384</v>
      </c>
      <c r="AW283" t="s">
        <v>384</v>
      </c>
      <c r="AX283" t="s">
        <v>385</v>
      </c>
      <c r="AY283" t="s">
        <v>384</v>
      </c>
      <c r="AZ283" t="s">
        <v>384</v>
      </c>
      <c r="BA283" t="s">
        <v>385</v>
      </c>
      <c r="BB283" t="s">
        <v>384</v>
      </c>
      <c r="BC283" t="s">
        <v>384</v>
      </c>
      <c r="BD283" t="s">
        <v>384</v>
      </c>
      <c r="BI283" t="s">
        <v>442</v>
      </c>
    </row>
    <row r="284" spans="1:61" x14ac:dyDescent="0.2">
      <c r="A284">
        <v>0</v>
      </c>
      <c r="B284">
        <v>969</v>
      </c>
      <c r="D284" t="s">
        <v>348</v>
      </c>
      <c r="E284" t="s">
        <v>412</v>
      </c>
      <c r="F284" t="s">
        <v>406</v>
      </c>
      <c r="G284" t="s">
        <v>378</v>
      </c>
      <c r="J284" t="s">
        <v>87</v>
      </c>
      <c r="K284" s="21">
        <v>46343</v>
      </c>
      <c r="L284" s="21">
        <v>46343</v>
      </c>
      <c r="P284" t="s">
        <v>379</v>
      </c>
      <c r="Q284" t="s">
        <v>379</v>
      </c>
      <c r="S284" t="s">
        <v>129</v>
      </c>
      <c r="T284">
        <v>5759</v>
      </c>
      <c r="U284" t="s">
        <v>381</v>
      </c>
      <c r="Y284" t="b">
        <v>1</v>
      </c>
      <c r="Z284" t="s">
        <v>413</v>
      </c>
      <c r="AA284" t="s">
        <v>94</v>
      </c>
      <c r="AC284">
        <v>969</v>
      </c>
      <c r="AD284">
        <v>46225</v>
      </c>
      <c r="AE284">
        <v>46161</v>
      </c>
      <c r="AF284">
        <v>102</v>
      </c>
      <c r="AG284">
        <v>102</v>
      </c>
      <c r="AH284" t="s">
        <v>676</v>
      </c>
      <c r="AI284" t="b">
        <v>0</v>
      </c>
      <c r="AJ284" t="s">
        <v>929</v>
      </c>
      <c r="AK284" t="s">
        <v>384</v>
      </c>
      <c r="AL284" t="s">
        <v>385</v>
      </c>
      <c r="AM284" t="s">
        <v>385</v>
      </c>
      <c r="AN284" t="s">
        <v>384</v>
      </c>
      <c r="AO284" t="s">
        <v>384</v>
      </c>
      <c r="AP284" t="s">
        <v>384</v>
      </c>
      <c r="AQ284" t="s">
        <v>384</v>
      </c>
      <c r="AR284" t="s">
        <v>384</v>
      </c>
      <c r="AS284" t="s">
        <v>384</v>
      </c>
      <c r="AT284" t="s">
        <v>384</v>
      </c>
      <c r="AU284" t="s">
        <v>384</v>
      </c>
      <c r="AV284" t="s">
        <v>384</v>
      </c>
      <c r="AW284" t="s">
        <v>384</v>
      </c>
      <c r="AX284" t="s">
        <v>385</v>
      </c>
      <c r="AY284" t="s">
        <v>384</v>
      </c>
      <c r="AZ284" t="s">
        <v>384</v>
      </c>
      <c r="BA284" t="s">
        <v>385</v>
      </c>
      <c r="BB284" t="s">
        <v>384</v>
      </c>
      <c r="BC284" t="s">
        <v>384</v>
      </c>
      <c r="BD284" t="s">
        <v>384</v>
      </c>
      <c r="BI284" t="s">
        <v>412</v>
      </c>
    </row>
    <row r="285" spans="1:61" x14ac:dyDescent="0.2">
      <c r="A285">
        <v>0</v>
      </c>
      <c r="B285">
        <v>937</v>
      </c>
      <c r="D285" t="s">
        <v>348</v>
      </c>
      <c r="E285" t="s">
        <v>445</v>
      </c>
      <c r="F285" t="s">
        <v>406</v>
      </c>
      <c r="G285" t="s">
        <v>378</v>
      </c>
      <c r="J285" t="s">
        <v>87</v>
      </c>
      <c r="K285" s="21">
        <v>46344</v>
      </c>
      <c r="L285" s="21">
        <v>46344</v>
      </c>
      <c r="P285" t="s">
        <v>379</v>
      </c>
      <c r="Q285" t="s">
        <v>379</v>
      </c>
      <c r="T285">
        <v>5727</v>
      </c>
      <c r="U285" t="s">
        <v>381</v>
      </c>
      <c r="Y285" t="b">
        <v>1</v>
      </c>
      <c r="AA285" t="s">
        <v>94</v>
      </c>
      <c r="AC285">
        <v>937</v>
      </c>
      <c r="AD285">
        <v>46225</v>
      </c>
      <c r="AE285">
        <v>46161</v>
      </c>
      <c r="AF285">
        <v>102</v>
      </c>
      <c r="AG285">
        <v>102</v>
      </c>
      <c r="AH285" t="s">
        <v>414</v>
      </c>
      <c r="AI285" t="b">
        <v>0</v>
      </c>
      <c r="AJ285" t="s">
        <v>930</v>
      </c>
      <c r="AK285" t="s">
        <v>384</v>
      </c>
      <c r="AL285" t="s">
        <v>385</v>
      </c>
      <c r="AM285" t="s">
        <v>385</v>
      </c>
      <c r="AN285" t="s">
        <v>384</v>
      </c>
      <c r="AO285" t="s">
        <v>384</v>
      </c>
      <c r="AP285" t="s">
        <v>384</v>
      </c>
      <c r="AQ285" t="s">
        <v>384</v>
      </c>
      <c r="AR285" t="s">
        <v>384</v>
      </c>
      <c r="AS285" t="s">
        <v>384</v>
      </c>
      <c r="AT285" t="s">
        <v>384</v>
      </c>
      <c r="AU285" t="s">
        <v>384</v>
      </c>
      <c r="AV285" t="s">
        <v>384</v>
      </c>
      <c r="AW285" t="s">
        <v>384</v>
      </c>
      <c r="AX285" t="s">
        <v>385</v>
      </c>
      <c r="AY285" t="s">
        <v>384</v>
      </c>
      <c r="AZ285" t="s">
        <v>384</v>
      </c>
      <c r="BA285" t="s">
        <v>385</v>
      </c>
      <c r="BB285" t="s">
        <v>384</v>
      </c>
      <c r="BC285" t="s">
        <v>384</v>
      </c>
      <c r="BD285" t="s">
        <v>384</v>
      </c>
      <c r="BI285" t="s">
        <v>445</v>
      </c>
    </row>
    <row r="286" spans="1:61" x14ac:dyDescent="0.2">
      <c r="A286">
        <v>0</v>
      </c>
      <c r="B286">
        <v>1068</v>
      </c>
      <c r="D286" t="s">
        <v>348</v>
      </c>
      <c r="E286" t="s">
        <v>431</v>
      </c>
      <c r="F286" t="s">
        <v>931</v>
      </c>
      <c r="G286" t="s">
        <v>378</v>
      </c>
      <c r="J286" t="s">
        <v>87</v>
      </c>
      <c r="K286" s="21">
        <v>46345</v>
      </c>
      <c r="L286" s="21">
        <v>46347</v>
      </c>
      <c r="P286" t="s">
        <v>379</v>
      </c>
      <c r="Q286" t="s">
        <v>379</v>
      </c>
      <c r="S286" t="s">
        <v>380</v>
      </c>
      <c r="T286">
        <v>7488</v>
      </c>
      <c r="U286" t="s">
        <v>381</v>
      </c>
      <c r="AA286" t="s">
        <v>5</v>
      </c>
      <c r="AC286">
        <v>1068</v>
      </c>
      <c r="AD286">
        <v>46221</v>
      </c>
      <c r="AE286">
        <v>46161</v>
      </c>
      <c r="AF286">
        <v>102</v>
      </c>
      <c r="AG286">
        <v>102</v>
      </c>
      <c r="AH286" t="s">
        <v>519</v>
      </c>
      <c r="AI286" t="b">
        <v>0</v>
      </c>
      <c r="AJ286" t="s">
        <v>932</v>
      </c>
      <c r="AK286" t="s">
        <v>384</v>
      </c>
      <c r="AL286" t="s">
        <v>385</v>
      </c>
      <c r="AM286" t="s">
        <v>385</v>
      </c>
      <c r="AN286" t="s">
        <v>384</v>
      </c>
      <c r="AO286" t="s">
        <v>384</v>
      </c>
      <c r="AP286" t="s">
        <v>384</v>
      </c>
      <c r="AQ286" t="s">
        <v>384</v>
      </c>
      <c r="AR286" t="s">
        <v>384</v>
      </c>
      <c r="AS286" t="s">
        <v>384</v>
      </c>
      <c r="AT286" t="s">
        <v>384</v>
      </c>
      <c r="AU286" t="s">
        <v>384</v>
      </c>
      <c r="AV286" t="s">
        <v>384</v>
      </c>
      <c r="AW286" t="s">
        <v>384</v>
      </c>
      <c r="AX286" t="s">
        <v>385</v>
      </c>
      <c r="AY286" t="s">
        <v>384</v>
      </c>
      <c r="AZ286" t="s">
        <v>384</v>
      </c>
      <c r="BA286" t="s">
        <v>385</v>
      </c>
      <c r="BB286" t="s">
        <v>384</v>
      </c>
      <c r="BC286" t="s">
        <v>384</v>
      </c>
      <c r="BD286" t="s">
        <v>384</v>
      </c>
      <c r="BI286" t="s">
        <v>431</v>
      </c>
    </row>
    <row r="287" spans="1:61" x14ac:dyDescent="0.2">
      <c r="A287">
        <v>0</v>
      </c>
      <c r="B287">
        <v>1137</v>
      </c>
      <c r="D287" t="s">
        <v>348</v>
      </c>
      <c r="E287" t="s">
        <v>392</v>
      </c>
      <c r="F287" t="s">
        <v>393</v>
      </c>
      <c r="G287" t="s">
        <v>378</v>
      </c>
      <c r="J287" t="s">
        <v>87</v>
      </c>
      <c r="K287" s="21">
        <v>46345</v>
      </c>
      <c r="L287" s="21">
        <v>46347</v>
      </c>
      <c r="P287" t="s">
        <v>379</v>
      </c>
      <c r="Q287" t="s">
        <v>379</v>
      </c>
      <c r="S287" t="s">
        <v>380</v>
      </c>
      <c r="T287">
        <v>7616</v>
      </c>
      <c r="U287" t="s">
        <v>381</v>
      </c>
      <c r="AA287" t="s">
        <v>5</v>
      </c>
      <c r="AC287">
        <v>1137</v>
      </c>
      <c r="AD287">
        <v>46221</v>
      </c>
      <c r="AE287">
        <v>46161</v>
      </c>
      <c r="AF287">
        <v>102</v>
      </c>
      <c r="AG287">
        <v>102</v>
      </c>
      <c r="AH287" t="s">
        <v>519</v>
      </c>
      <c r="AI287" t="b">
        <v>0</v>
      </c>
      <c r="AJ287" t="s">
        <v>933</v>
      </c>
      <c r="AK287" t="s">
        <v>384</v>
      </c>
      <c r="AL287" t="s">
        <v>385</v>
      </c>
      <c r="AM287" t="s">
        <v>385</v>
      </c>
      <c r="AN287" t="s">
        <v>384</v>
      </c>
      <c r="AO287" t="s">
        <v>384</v>
      </c>
      <c r="AP287" t="s">
        <v>384</v>
      </c>
      <c r="AQ287" t="s">
        <v>384</v>
      </c>
      <c r="AR287" t="s">
        <v>384</v>
      </c>
      <c r="AS287" t="s">
        <v>384</v>
      </c>
      <c r="AT287" t="s">
        <v>384</v>
      </c>
      <c r="AU287" t="s">
        <v>384</v>
      </c>
      <c r="AV287" t="s">
        <v>384</v>
      </c>
      <c r="AW287" t="s">
        <v>384</v>
      </c>
      <c r="AX287" t="s">
        <v>385</v>
      </c>
      <c r="AY287" t="s">
        <v>384</v>
      </c>
      <c r="AZ287" t="s">
        <v>384</v>
      </c>
      <c r="BA287" t="s">
        <v>385</v>
      </c>
      <c r="BB287" t="s">
        <v>384</v>
      </c>
      <c r="BC287" t="s">
        <v>384</v>
      </c>
      <c r="BD287" t="s">
        <v>384</v>
      </c>
      <c r="BI287" t="s">
        <v>392</v>
      </c>
    </row>
    <row r="288" spans="1:61" x14ac:dyDescent="0.2">
      <c r="A288">
        <v>0</v>
      </c>
      <c r="B288">
        <v>1139</v>
      </c>
      <c r="D288" t="s">
        <v>348</v>
      </c>
      <c r="E288" t="s">
        <v>576</v>
      </c>
      <c r="F288" t="s">
        <v>934</v>
      </c>
      <c r="G288" t="s">
        <v>378</v>
      </c>
      <c r="J288" t="s">
        <v>87</v>
      </c>
      <c r="K288" s="21">
        <v>46345</v>
      </c>
      <c r="L288" s="21">
        <v>46347</v>
      </c>
      <c r="P288" t="s">
        <v>379</v>
      </c>
      <c r="Q288" t="s">
        <v>379</v>
      </c>
      <c r="S288" t="s">
        <v>380</v>
      </c>
      <c r="T288">
        <v>7618</v>
      </c>
      <c r="U288" t="s">
        <v>381</v>
      </c>
      <c r="AA288" t="s">
        <v>5</v>
      </c>
      <c r="AC288">
        <v>1139</v>
      </c>
      <c r="AD288">
        <v>46221</v>
      </c>
      <c r="AE288">
        <v>46161</v>
      </c>
      <c r="AF288">
        <v>102</v>
      </c>
      <c r="AG288">
        <v>102</v>
      </c>
      <c r="AH288" t="s">
        <v>519</v>
      </c>
      <c r="AI288" t="b">
        <v>0</v>
      </c>
      <c r="AJ288" t="s">
        <v>935</v>
      </c>
      <c r="AK288" t="s">
        <v>384</v>
      </c>
      <c r="AL288" t="s">
        <v>385</v>
      </c>
      <c r="AM288" t="s">
        <v>385</v>
      </c>
      <c r="AN288" t="s">
        <v>384</v>
      </c>
      <c r="AO288" t="s">
        <v>384</v>
      </c>
      <c r="AP288" t="s">
        <v>384</v>
      </c>
      <c r="AQ288" t="s">
        <v>384</v>
      </c>
      <c r="AR288" t="s">
        <v>384</v>
      </c>
      <c r="AS288" t="s">
        <v>384</v>
      </c>
      <c r="AT288" t="s">
        <v>384</v>
      </c>
      <c r="AU288" t="s">
        <v>384</v>
      </c>
      <c r="AV288" t="s">
        <v>384</v>
      </c>
      <c r="AW288" t="s">
        <v>384</v>
      </c>
      <c r="AX288" t="s">
        <v>385</v>
      </c>
      <c r="AY288" t="s">
        <v>384</v>
      </c>
      <c r="AZ288" t="s">
        <v>384</v>
      </c>
      <c r="BA288" t="s">
        <v>385</v>
      </c>
      <c r="BB288" t="s">
        <v>384</v>
      </c>
      <c r="BC288" t="s">
        <v>384</v>
      </c>
      <c r="BD288" t="s">
        <v>384</v>
      </c>
      <c r="BI288" t="s">
        <v>576</v>
      </c>
    </row>
    <row r="289" spans="1:61" x14ac:dyDescent="0.2">
      <c r="A289">
        <v>0</v>
      </c>
      <c r="B289">
        <v>1138</v>
      </c>
      <c r="D289" t="s">
        <v>348</v>
      </c>
      <c r="E289" t="s">
        <v>389</v>
      </c>
      <c r="F289" t="s">
        <v>390</v>
      </c>
      <c r="G289" t="s">
        <v>378</v>
      </c>
      <c r="J289" t="s">
        <v>87</v>
      </c>
      <c r="K289" s="21">
        <v>46345</v>
      </c>
      <c r="L289" s="21">
        <v>46347</v>
      </c>
      <c r="P289" t="s">
        <v>379</v>
      </c>
      <c r="Q289" t="s">
        <v>379</v>
      </c>
      <c r="S289" t="s">
        <v>380</v>
      </c>
      <c r="T289">
        <v>7617</v>
      </c>
      <c r="U289" t="s">
        <v>381</v>
      </c>
      <c r="AA289" t="s">
        <v>5</v>
      </c>
      <c r="AC289">
        <v>1138</v>
      </c>
      <c r="AD289">
        <v>46221</v>
      </c>
      <c r="AE289">
        <v>46161</v>
      </c>
      <c r="AF289">
        <v>102</v>
      </c>
      <c r="AG289">
        <v>102</v>
      </c>
      <c r="AH289" t="s">
        <v>519</v>
      </c>
      <c r="AI289" t="b">
        <v>0</v>
      </c>
      <c r="AJ289" t="s">
        <v>936</v>
      </c>
      <c r="AK289" t="s">
        <v>384</v>
      </c>
      <c r="AL289" t="s">
        <v>385</v>
      </c>
      <c r="AM289" t="s">
        <v>385</v>
      </c>
      <c r="AN289" t="s">
        <v>384</v>
      </c>
      <c r="AO289" t="s">
        <v>384</v>
      </c>
      <c r="AP289" t="s">
        <v>384</v>
      </c>
      <c r="AQ289" t="s">
        <v>384</v>
      </c>
      <c r="AR289" t="s">
        <v>384</v>
      </c>
      <c r="AS289" t="s">
        <v>384</v>
      </c>
      <c r="AT289" t="s">
        <v>384</v>
      </c>
      <c r="AU289" t="s">
        <v>384</v>
      </c>
      <c r="AV289" t="s">
        <v>384</v>
      </c>
      <c r="AW289" t="s">
        <v>384</v>
      </c>
      <c r="AX289" t="s">
        <v>385</v>
      </c>
      <c r="AY289" t="s">
        <v>384</v>
      </c>
      <c r="AZ289" t="s">
        <v>384</v>
      </c>
      <c r="BA289" t="s">
        <v>385</v>
      </c>
      <c r="BB289" t="s">
        <v>384</v>
      </c>
      <c r="BC289" t="s">
        <v>384</v>
      </c>
      <c r="BD289" t="s">
        <v>384</v>
      </c>
      <c r="BI289" t="s">
        <v>389</v>
      </c>
    </row>
    <row r="290" spans="1:61" x14ac:dyDescent="0.2">
      <c r="A290">
        <v>0</v>
      </c>
      <c r="B290">
        <v>1140</v>
      </c>
      <c r="D290" t="s">
        <v>348</v>
      </c>
      <c r="E290" t="s">
        <v>937</v>
      </c>
      <c r="F290" t="s">
        <v>938</v>
      </c>
      <c r="G290" t="s">
        <v>378</v>
      </c>
      <c r="J290" t="s">
        <v>87</v>
      </c>
      <c r="K290" s="21">
        <v>46346</v>
      </c>
      <c r="L290" s="21">
        <v>46347</v>
      </c>
      <c r="P290" t="s">
        <v>379</v>
      </c>
      <c r="Q290" t="s">
        <v>379</v>
      </c>
      <c r="S290" t="s">
        <v>380</v>
      </c>
      <c r="T290">
        <v>7619</v>
      </c>
      <c r="U290" t="s">
        <v>381</v>
      </c>
      <c r="AA290" t="s">
        <v>5</v>
      </c>
      <c r="AC290">
        <v>1140</v>
      </c>
      <c r="AD290">
        <v>46221</v>
      </c>
      <c r="AE290">
        <v>46161</v>
      </c>
      <c r="AF290">
        <v>102</v>
      </c>
      <c r="AG290">
        <v>102</v>
      </c>
      <c r="AH290" t="s">
        <v>519</v>
      </c>
      <c r="AI290" t="b">
        <v>0</v>
      </c>
      <c r="AJ290" t="s">
        <v>939</v>
      </c>
      <c r="AK290" t="s">
        <v>384</v>
      </c>
      <c r="AL290" t="s">
        <v>385</v>
      </c>
      <c r="AM290" t="s">
        <v>385</v>
      </c>
      <c r="AN290" t="s">
        <v>384</v>
      </c>
      <c r="AO290" t="s">
        <v>384</v>
      </c>
      <c r="AP290" t="s">
        <v>384</v>
      </c>
      <c r="AQ290" t="s">
        <v>384</v>
      </c>
      <c r="AR290" t="s">
        <v>384</v>
      </c>
      <c r="AS290" t="s">
        <v>384</v>
      </c>
      <c r="AT290" t="s">
        <v>384</v>
      </c>
      <c r="AU290" t="s">
        <v>384</v>
      </c>
      <c r="AV290" t="s">
        <v>384</v>
      </c>
      <c r="AW290" t="s">
        <v>384</v>
      </c>
      <c r="AX290" t="s">
        <v>385</v>
      </c>
      <c r="AY290" t="s">
        <v>384</v>
      </c>
      <c r="AZ290" t="s">
        <v>384</v>
      </c>
      <c r="BA290" t="s">
        <v>385</v>
      </c>
      <c r="BB290" t="s">
        <v>384</v>
      </c>
      <c r="BC290" t="s">
        <v>384</v>
      </c>
      <c r="BD290" t="s">
        <v>384</v>
      </c>
      <c r="BI290" t="s">
        <v>937</v>
      </c>
    </row>
    <row r="291" spans="1:61" x14ac:dyDescent="0.2">
      <c r="A291">
        <v>0</v>
      </c>
      <c r="B291">
        <v>970</v>
      </c>
      <c r="D291" t="s">
        <v>348</v>
      </c>
      <c r="E291" t="s">
        <v>940</v>
      </c>
      <c r="F291" t="s">
        <v>416</v>
      </c>
      <c r="G291" t="s">
        <v>378</v>
      </c>
      <c r="J291" t="s">
        <v>87</v>
      </c>
      <c r="K291" s="21">
        <v>46347</v>
      </c>
      <c r="L291" s="21">
        <v>46347</v>
      </c>
      <c r="P291" t="s">
        <v>379</v>
      </c>
      <c r="Q291" t="s">
        <v>379</v>
      </c>
      <c r="T291">
        <v>5760</v>
      </c>
      <c r="U291" t="s">
        <v>381</v>
      </c>
      <c r="Y291" t="b">
        <v>1</v>
      </c>
      <c r="Z291" t="s">
        <v>413</v>
      </c>
      <c r="AA291" t="s">
        <v>94</v>
      </c>
      <c r="AC291">
        <v>970</v>
      </c>
      <c r="AD291">
        <v>46225</v>
      </c>
      <c r="AE291">
        <v>46161</v>
      </c>
      <c r="AF291">
        <v>102</v>
      </c>
      <c r="AG291">
        <v>102</v>
      </c>
      <c r="AH291" t="s">
        <v>676</v>
      </c>
      <c r="AI291" t="b">
        <v>0</v>
      </c>
      <c r="AJ291" t="s">
        <v>941</v>
      </c>
      <c r="AK291" t="s">
        <v>384</v>
      </c>
      <c r="AL291" t="s">
        <v>385</v>
      </c>
      <c r="AM291" t="s">
        <v>385</v>
      </c>
      <c r="AN291" t="s">
        <v>384</v>
      </c>
      <c r="AO291" t="s">
        <v>384</v>
      </c>
      <c r="AP291" t="s">
        <v>384</v>
      </c>
      <c r="AQ291" t="s">
        <v>384</v>
      </c>
      <c r="AR291" t="s">
        <v>384</v>
      </c>
      <c r="AS291" t="s">
        <v>384</v>
      </c>
      <c r="AT291" t="s">
        <v>384</v>
      </c>
      <c r="AU291" t="s">
        <v>384</v>
      </c>
      <c r="AV291" t="s">
        <v>384</v>
      </c>
      <c r="AW291" t="s">
        <v>384</v>
      </c>
      <c r="AX291" t="s">
        <v>385</v>
      </c>
      <c r="AY291" t="s">
        <v>384</v>
      </c>
      <c r="AZ291" t="s">
        <v>384</v>
      </c>
      <c r="BA291" t="s">
        <v>385</v>
      </c>
      <c r="BB291" t="s">
        <v>384</v>
      </c>
      <c r="BC291" t="s">
        <v>384</v>
      </c>
      <c r="BD291" t="s">
        <v>384</v>
      </c>
      <c r="BI291" t="s">
        <v>940</v>
      </c>
    </row>
    <row r="292" spans="1:61" x14ac:dyDescent="0.2">
      <c r="A292">
        <v>0</v>
      </c>
      <c r="B292">
        <v>948</v>
      </c>
      <c r="D292" t="s">
        <v>348</v>
      </c>
      <c r="E292" t="s">
        <v>418</v>
      </c>
      <c r="F292" t="s">
        <v>419</v>
      </c>
      <c r="G292" t="s">
        <v>378</v>
      </c>
      <c r="J292" t="s">
        <v>87</v>
      </c>
      <c r="K292" s="21">
        <v>46349</v>
      </c>
      <c r="L292" s="21">
        <v>46349</v>
      </c>
      <c r="P292" t="s">
        <v>379</v>
      </c>
      <c r="Q292" t="s">
        <v>379</v>
      </c>
      <c r="T292">
        <v>5738</v>
      </c>
      <c r="U292" t="s">
        <v>381</v>
      </c>
      <c r="AA292" t="s">
        <v>5</v>
      </c>
      <c r="AC292">
        <v>948</v>
      </c>
      <c r="AD292">
        <v>46221</v>
      </c>
      <c r="AE292">
        <v>46161</v>
      </c>
      <c r="AF292">
        <v>102</v>
      </c>
      <c r="AG292">
        <v>102</v>
      </c>
      <c r="AH292" t="s">
        <v>519</v>
      </c>
      <c r="AI292" t="b">
        <v>0</v>
      </c>
      <c r="AJ292" t="s">
        <v>942</v>
      </c>
      <c r="AK292" t="s">
        <v>384</v>
      </c>
      <c r="AL292" t="s">
        <v>385</v>
      </c>
      <c r="AM292" t="s">
        <v>385</v>
      </c>
      <c r="AN292" t="s">
        <v>384</v>
      </c>
      <c r="AO292" t="s">
        <v>384</v>
      </c>
      <c r="AP292" t="s">
        <v>384</v>
      </c>
      <c r="AQ292" t="s">
        <v>384</v>
      </c>
      <c r="AR292" t="s">
        <v>384</v>
      </c>
      <c r="AS292" t="s">
        <v>384</v>
      </c>
      <c r="AT292" t="s">
        <v>384</v>
      </c>
      <c r="AU292" t="s">
        <v>384</v>
      </c>
      <c r="AV292" t="s">
        <v>384</v>
      </c>
      <c r="AW292" t="s">
        <v>384</v>
      </c>
      <c r="AX292" t="s">
        <v>385</v>
      </c>
      <c r="AY292" t="s">
        <v>384</v>
      </c>
      <c r="AZ292" t="s">
        <v>384</v>
      </c>
      <c r="BA292" t="s">
        <v>385</v>
      </c>
      <c r="BB292" t="s">
        <v>384</v>
      </c>
      <c r="BC292" t="s">
        <v>384</v>
      </c>
      <c r="BD292" t="s">
        <v>384</v>
      </c>
      <c r="BI292" t="s">
        <v>418</v>
      </c>
    </row>
    <row r="293" spans="1:61" x14ac:dyDescent="0.2">
      <c r="E293" t="s">
        <v>110</v>
      </c>
      <c r="J293" t="s">
        <v>87</v>
      </c>
      <c r="K293" s="21">
        <v>46357</v>
      </c>
      <c r="L293" s="21">
        <v>46418</v>
      </c>
      <c r="AA293" t="s">
        <v>6</v>
      </c>
      <c r="BI293" t="s">
        <v>110</v>
      </c>
    </row>
    <row r="294" spans="1:61" x14ac:dyDescent="0.2">
      <c r="A294">
        <v>0</v>
      </c>
      <c r="B294">
        <v>1042</v>
      </c>
      <c r="D294" t="s">
        <v>348</v>
      </c>
      <c r="E294" t="s">
        <v>502</v>
      </c>
      <c r="F294" t="s">
        <v>628</v>
      </c>
      <c r="G294" t="s">
        <v>378</v>
      </c>
      <c r="J294" t="s">
        <v>87</v>
      </c>
      <c r="K294" s="21">
        <v>46361</v>
      </c>
      <c r="L294" s="21">
        <v>46361</v>
      </c>
      <c r="P294" t="s">
        <v>379</v>
      </c>
      <c r="Q294" t="s">
        <v>379</v>
      </c>
      <c r="S294" t="s">
        <v>380</v>
      </c>
      <c r="T294">
        <v>7376</v>
      </c>
      <c r="U294" t="s">
        <v>381</v>
      </c>
      <c r="AA294" t="s">
        <v>5</v>
      </c>
      <c r="AC294">
        <v>1042</v>
      </c>
      <c r="AD294">
        <v>46221</v>
      </c>
      <c r="AE294">
        <v>46161</v>
      </c>
      <c r="AF294">
        <v>102</v>
      </c>
      <c r="AG294">
        <v>102</v>
      </c>
      <c r="AH294" t="s">
        <v>519</v>
      </c>
      <c r="AI294" t="b">
        <v>0</v>
      </c>
      <c r="AJ294" t="s">
        <v>943</v>
      </c>
      <c r="AK294" t="s">
        <v>384</v>
      </c>
      <c r="AL294" t="s">
        <v>385</v>
      </c>
      <c r="AM294" t="s">
        <v>385</v>
      </c>
      <c r="AN294" t="s">
        <v>384</v>
      </c>
      <c r="AO294" t="s">
        <v>384</v>
      </c>
      <c r="AP294" t="s">
        <v>384</v>
      </c>
      <c r="AQ294" t="s">
        <v>384</v>
      </c>
      <c r="AR294" t="s">
        <v>384</v>
      </c>
      <c r="AS294" t="s">
        <v>384</v>
      </c>
      <c r="AT294" t="s">
        <v>384</v>
      </c>
      <c r="AU294" t="s">
        <v>384</v>
      </c>
      <c r="AV294" t="s">
        <v>384</v>
      </c>
      <c r="AW294" t="s">
        <v>384</v>
      </c>
      <c r="AX294" t="s">
        <v>385</v>
      </c>
      <c r="AY294" t="s">
        <v>384</v>
      </c>
      <c r="AZ294" t="s">
        <v>384</v>
      </c>
      <c r="BA294" t="s">
        <v>385</v>
      </c>
      <c r="BB294" t="s">
        <v>384</v>
      </c>
      <c r="BC294" t="s">
        <v>384</v>
      </c>
      <c r="BD294" t="s">
        <v>384</v>
      </c>
      <c r="BI294" t="s">
        <v>502</v>
      </c>
    </row>
    <row r="295" spans="1:61" x14ac:dyDescent="0.2">
      <c r="A295">
        <v>0</v>
      </c>
      <c r="B295">
        <v>1043</v>
      </c>
      <c r="D295" t="s">
        <v>348</v>
      </c>
      <c r="E295" t="s">
        <v>431</v>
      </c>
      <c r="F295" t="s">
        <v>625</v>
      </c>
      <c r="G295" t="s">
        <v>378</v>
      </c>
      <c r="J295" t="s">
        <v>87</v>
      </c>
      <c r="K295" s="21">
        <v>46361</v>
      </c>
      <c r="L295" s="21">
        <v>46361</v>
      </c>
      <c r="P295" t="s">
        <v>379</v>
      </c>
      <c r="Q295" t="s">
        <v>379</v>
      </c>
      <c r="S295" t="s">
        <v>380</v>
      </c>
      <c r="T295">
        <v>7377</v>
      </c>
      <c r="U295" t="s">
        <v>381</v>
      </c>
      <c r="AA295" t="s">
        <v>5</v>
      </c>
      <c r="AC295">
        <v>1043</v>
      </c>
      <c r="AD295">
        <v>46221</v>
      </c>
      <c r="AE295">
        <v>46161</v>
      </c>
      <c r="AF295">
        <v>102</v>
      </c>
      <c r="AG295">
        <v>102</v>
      </c>
      <c r="AH295" t="s">
        <v>519</v>
      </c>
      <c r="AI295" t="b">
        <v>0</v>
      </c>
      <c r="AJ295" t="s">
        <v>944</v>
      </c>
      <c r="AK295" t="s">
        <v>384</v>
      </c>
      <c r="AL295" t="s">
        <v>385</v>
      </c>
      <c r="AM295" t="s">
        <v>385</v>
      </c>
      <c r="AN295" t="s">
        <v>384</v>
      </c>
      <c r="AO295" t="s">
        <v>384</v>
      </c>
      <c r="AP295" t="s">
        <v>384</v>
      </c>
      <c r="AQ295" t="s">
        <v>384</v>
      </c>
      <c r="AR295" t="s">
        <v>384</v>
      </c>
      <c r="AS295" t="s">
        <v>384</v>
      </c>
      <c r="AT295" t="s">
        <v>384</v>
      </c>
      <c r="AU295" t="s">
        <v>384</v>
      </c>
      <c r="AV295" t="s">
        <v>384</v>
      </c>
      <c r="AW295" t="s">
        <v>384</v>
      </c>
      <c r="AX295" t="s">
        <v>385</v>
      </c>
      <c r="AY295" t="s">
        <v>384</v>
      </c>
      <c r="AZ295" t="s">
        <v>384</v>
      </c>
      <c r="BA295" t="s">
        <v>385</v>
      </c>
      <c r="BB295" t="s">
        <v>384</v>
      </c>
      <c r="BC295" t="s">
        <v>384</v>
      </c>
      <c r="BD295" t="s">
        <v>384</v>
      </c>
      <c r="BI295" t="s">
        <v>431</v>
      </c>
    </row>
    <row r="296" spans="1:61" x14ac:dyDescent="0.2">
      <c r="A296">
        <v>0</v>
      </c>
      <c r="B296">
        <v>1027</v>
      </c>
      <c r="D296" t="s">
        <v>348</v>
      </c>
      <c r="E296" t="s">
        <v>421</v>
      </c>
      <c r="F296" t="s">
        <v>820</v>
      </c>
      <c r="G296" t="s">
        <v>378</v>
      </c>
      <c r="J296" t="s">
        <v>87</v>
      </c>
      <c r="K296" s="21">
        <v>46364</v>
      </c>
      <c r="L296" s="21">
        <v>46364</v>
      </c>
      <c r="P296" t="s">
        <v>379</v>
      </c>
      <c r="Q296" t="s">
        <v>379</v>
      </c>
      <c r="T296">
        <v>7244</v>
      </c>
      <c r="U296" t="s">
        <v>381</v>
      </c>
      <c r="AA296" t="s">
        <v>5</v>
      </c>
      <c r="AC296">
        <v>1027</v>
      </c>
      <c r="AD296">
        <v>46221</v>
      </c>
      <c r="AE296">
        <v>46161</v>
      </c>
      <c r="AF296">
        <v>102</v>
      </c>
      <c r="AG296">
        <v>102</v>
      </c>
      <c r="AH296" t="s">
        <v>519</v>
      </c>
      <c r="AI296" t="b">
        <v>0</v>
      </c>
      <c r="AJ296" t="s">
        <v>945</v>
      </c>
      <c r="AK296" t="s">
        <v>384</v>
      </c>
      <c r="AL296" t="s">
        <v>385</v>
      </c>
      <c r="AM296" t="s">
        <v>385</v>
      </c>
      <c r="AN296" t="s">
        <v>384</v>
      </c>
      <c r="AO296" t="s">
        <v>384</v>
      </c>
      <c r="AP296" t="s">
        <v>384</v>
      </c>
      <c r="AQ296" t="s">
        <v>384</v>
      </c>
      <c r="AR296" t="s">
        <v>384</v>
      </c>
      <c r="AS296" t="s">
        <v>384</v>
      </c>
      <c r="AT296" t="s">
        <v>384</v>
      </c>
      <c r="AU296" t="s">
        <v>384</v>
      </c>
      <c r="AV296" t="s">
        <v>384</v>
      </c>
      <c r="AW296" t="s">
        <v>384</v>
      </c>
      <c r="AX296" t="s">
        <v>385</v>
      </c>
      <c r="AY296" t="s">
        <v>384</v>
      </c>
      <c r="AZ296" t="s">
        <v>384</v>
      </c>
      <c r="BA296" t="s">
        <v>385</v>
      </c>
      <c r="BB296" t="s">
        <v>384</v>
      </c>
      <c r="BC296" t="s">
        <v>384</v>
      </c>
      <c r="BD296" t="s">
        <v>384</v>
      </c>
      <c r="BI296" t="s">
        <v>421</v>
      </c>
    </row>
    <row r="297" spans="1:61" x14ac:dyDescent="0.2">
      <c r="A297">
        <v>0</v>
      </c>
      <c r="B297">
        <v>1050</v>
      </c>
      <c r="D297" t="s">
        <v>348</v>
      </c>
      <c r="E297" t="s">
        <v>421</v>
      </c>
      <c r="F297" t="s">
        <v>820</v>
      </c>
      <c r="G297" t="s">
        <v>378</v>
      </c>
      <c r="J297" t="s">
        <v>87</v>
      </c>
      <c r="K297" s="21">
        <v>46364</v>
      </c>
      <c r="L297" s="21">
        <v>46364</v>
      </c>
      <c r="P297" t="s">
        <v>379</v>
      </c>
      <c r="Q297" t="s">
        <v>379</v>
      </c>
      <c r="S297" t="s">
        <v>380</v>
      </c>
      <c r="T297">
        <v>7389</v>
      </c>
      <c r="U297" t="s">
        <v>381</v>
      </c>
      <c r="AA297" t="s">
        <v>5</v>
      </c>
      <c r="AC297">
        <v>1050</v>
      </c>
      <c r="AD297">
        <v>46221</v>
      </c>
      <c r="AE297">
        <v>46161</v>
      </c>
      <c r="AF297">
        <v>102</v>
      </c>
      <c r="AG297">
        <v>102</v>
      </c>
      <c r="AH297" t="s">
        <v>519</v>
      </c>
      <c r="AI297" t="b">
        <v>0</v>
      </c>
      <c r="AJ297" t="s">
        <v>946</v>
      </c>
      <c r="AK297" t="s">
        <v>384</v>
      </c>
      <c r="AL297" t="s">
        <v>385</v>
      </c>
      <c r="AM297" t="s">
        <v>385</v>
      </c>
      <c r="AN297" t="s">
        <v>384</v>
      </c>
      <c r="AO297" t="s">
        <v>384</v>
      </c>
      <c r="AP297" t="s">
        <v>384</v>
      </c>
      <c r="AQ297" t="s">
        <v>384</v>
      </c>
      <c r="AR297" t="s">
        <v>384</v>
      </c>
      <c r="AS297" t="s">
        <v>384</v>
      </c>
      <c r="AT297" t="s">
        <v>384</v>
      </c>
      <c r="AU297" t="s">
        <v>384</v>
      </c>
      <c r="AV297" t="s">
        <v>384</v>
      </c>
      <c r="AW297" t="s">
        <v>384</v>
      </c>
      <c r="AX297" t="s">
        <v>385</v>
      </c>
      <c r="AY297" t="s">
        <v>384</v>
      </c>
      <c r="AZ297" t="s">
        <v>384</v>
      </c>
      <c r="BA297" t="s">
        <v>385</v>
      </c>
      <c r="BB297" t="s">
        <v>384</v>
      </c>
      <c r="BC297" t="s">
        <v>384</v>
      </c>
      <c r="BD297" t="s">
        <v>384</v>
      </c>
      <c r="BI297" t="s">
        <v>421</v>
      </c>
    </row>
    <row r="298" spans="1:61" x14ac:dyDescent="0.2">
      <c r="A298">
        <v>0</v>
      </c>
      <c r="B298">
        <v>949</v>
      </c>
      <c r="D298" t="s">
        <v>348</v>
      </c>
      <c r="E298" t="s">
        <v>418</v>
      </c>
      <c r="F298" t="s">
        <v>419</v>
      </c>
      <c r="G298" t="s">
        <v>378</v>
      </c>
      <c r="J298" t="s">
        <v>87</v>
      </c>
      <c r="K298" s="21">
        <v>46367</v>
      </c>
      <c r="L298" s="21">
        <v>46367</v>
      </c>
      <c r="P298" t="s">
        <v>379</v>
      </c>
      <c r="Q298" t="s">
        <v>379</v>
      </c>
      <c r="T298">
        <v>5739</v>
      </c>
      <c r="U298" t="s">
        <v>381</v>
      </c>
      <c r="AA298" t="s">
        <v>5</v>
      </c>
      <c r="AC298">
        <v>949</v>
      </c>
      <c r="AD298">
        <v>46221</v>
      </c>
      <c r="AE298">
        <v>46161</v>
      </c>
      <c r="AF298">
        <v>102</v>
      </c>
      <c r="AG298">
        <v>102</v>
      </c>
      <c r="AH298" t="s">
        <v>519</v>
      </c>
      <c r="AI298" t="b">
        <v>0</v>
      </c>
      <c r="AJ298" t="s">
        <v>947</v>
      </c>
      <c r="AK298" t="s">
        <v>384</v>
      </c>
      <c r="AL298" t="s">
        <v>385</v>
      </c>
      <c r="AM298" t="s">
        <v>385</v>
      </c>
      <c r="AN298" t="s">
        <v>384</v>
      </c>
      <c r="AO298" t="s">
        <v>384</v>
      </c>
      <c r="AP298" t="s">
        <v>384</v>
      </c>
      <c r="AQ298" t="s">
        <v>384</v>
      </c>
      <c r="AR298" t="s">
        <v>384</v>
      </c>
      <c r="AS298" t="s">
        <v>384</v>
      </c>
      <c r="AT298" t="s">
        <v>384</v>
      </c>
      <c r="AU298" t="s">
        <v>384</v>
      </c>
      <c r="AV298" t="s">
        <v>384</v>
      </c>
      <c r="AW298" t="s">
        <v>384</v>
      </c>
      <c r="AX298" t="s">
        <v>385</v>
      </c>
      <c r="AY298" t="s">
        <v>384</v>
      </c>
      <c r="AZ298" t="s">
        <v>384</v>
      </c>
      <c r="BA298" t="s">
        <v>385</v>
      </c>
      <c r="BB298" t="s">
        <v>384</v>
      </c>
      <c r="BC298" t="s">
        <v>384</v>
      </c>
      <c r="BD298" t="s">
        <v>384</v>
      </c>
      <c r="BI298" t="s">
        <v>418</v>
      </c>
    </row>
    <row r="299" spans="1:61" x14ac:dyDescent="0.2">
      <c r="E299" t="s">
        <v>92</v>
      </c>
      <c r="J299" t="s">
        <v>87</v>
      </c>
      <c r="K299" s="21">
        <v>46368</v>
      </c>
      <c r="L299" s="21">
        <v>46413</v>
      </c>
      <c r="AA299" t="s">
        <v>88</v>
      </c>
      <c r="BI299" t="s">
        <v>92</v>
      </c>
    </row>
    <row r="300" spans="1:61" x14ac:dyDescent="0.2">
      <c r="A300">
        <v>0</v>
      </c>
      <c r="B300">
        <v>1002</v>
      </c>
      <c r="D300" t="s">
        <v>348</v>
      </c>
      <c r="E300" t="s">
        <v>405</v>
      </c>
      <c r="F300" t="s">
        <v>406</v>
      </c>
      <c r="G300" t="s">
        <v>378</v>
      </c>
      <c r="J300" t="s">
        <v>87</v>
      </c>
      <c r="K300" s="21">
        <v>46375</v>
      </c>
      <c r="L300" s="21">
        <v>46375</v>
      </c>
      <c r="P300" t="s">
        <v>379</v>
      </c>
      <c r="Q300" t="s">
        <v>379</v>
      </c>
      <c r="S300" t="s">
        <v>407</v>
      </c>
      <c r="T300">
        <v>5792</v>
      </c>
      <c r="U300" t="s">
        <v>381</v>
      </c>
      <c r="Y300" t="b">
        <v>1</v>
      </c>
      <c r="AA300" t="s">
        <v>94</v>
      </c>
      <c r="AC300">
        <v>1002</v>
      </c>
      <c r="AD300">
        <v>46225</v>
      </c>
      <c r="AE300">
        <v>46161</v>
      </c>
      <c r="AF300">
        <v>102</v>
      </c>
      <c r="AG300">
        <v>102</v>
      </c>
      <c r="AH300" t="s">
        <v>414</v>
      </c>
      <c r="AI300" t="b">
        <v>0</v>
      </c>
      <c r="AJ300" t="s">
        <v>948</v>
      </c>
      <c r="AK300" t="s">
        <v>384</v>
      </c>
      <c r="AL300" t="s">
        <v>385</v>
      </c>
      <c r="AM300" t="s">
        <v>385</v>
      </c>
      <c r="AN300" t="s">
        <v>384</v>
      </c>
      <c r="AO300" t="s">
        <v>384</v>
      </c>
      <c r="AP300" t="s">
        <v>384</v>
      </c>
      <c r="AQ300" t="s">
        <v>384</v>
      </c>
      <c r="AR300" t="s">
        <v>384</v>
      </c>
      <c r="AS300" t="s">
        <v>384</v>
      </c>
      <c r="AT300" t="s">
        <v>384</v>
      </c>
      <c r="AU300" t="s">
        <v>384</v>
      </c>
      <c r="AV300" t="s">
        <v>384</v>
      </c>
      <c r="AW300" t="s">
        <v>384</v>
      </c>
      <c r="AX300" t="s">
        <v>385</v>
      </c>
      <c r="AY300" t="s">
        <v>384</v>
      </c>
      <c r="AZ300" t="s">
        <v>384</v>
      </c>
      <c r="BA300" t="s">
        <v>385</v>
      </c>
      <c r="BB300" t="s">
        <v>384</v>
      </c>
      <c r="BC300" t="s">
        <v>384</v>
      </c>
      <c r="BD300" t="s">
        <v>384</v>
      </c>
      <c r="BI300" t="s">
        <v>405</v>
      </c>
    </row>
    <row r="301" spans="1:61" x14ac:dyDescent="0.2">
      <c r="A301">
        <v>0</v>
      </c>
      <c r="B301">
        <v>961</v>
      </c>
      <c r="D301" t="s">
        <v>348</v>
      </c>
      <c r="E301" t="s">
        <v>409</v>
      </c>
      <c r="F301" t="s">
        <v>410</v>
      </c>
      <c r="G301" t="s">
        <v>378</v>
      </c>
      <c r="J301" t="s">
        <v>87</v>
      </c>
      <c r="K301" s="21">
        <v>46376</v>
      </c>
      <c r="L301" s="21">
        <v>46376</v>
      </c>
      <c r="P301" t="s">
        <v>379</v>
      </c>
      <c r="Q301" t="s">
        <v>379</v>
      </c>
      <c r="T301">
        <v>5751</v>
      </c>
      <c r="U301" t="s">
        <v>381</v>
      </c>
      <c r="AA301" t="s">
        <v>5</v>
      </c>
      <c r="AC301">
        <v>961</v>
      </c>
      <c r="AD301">
        <v>46221</v>
      </c>
      <c r="AE301">
        <v>46161</v>
      </c>
      <c r="AF301">
        <v>102</v>
      </c>
      <c r="AG301">
        <v>102</v>
      </c>
      <c r="AH301" t="s">
        <v>519</v>
      </c>
      <c r="AI301" t="b">
        <v>0</v>
      </c>
      <c r="AJ301" t="s">
        <v>949</v>
      </c>
      <c r="AK301" t="s">
        <v>384</v>
      </c>
      <c r="AL301" t="s">
        <v>385</v>
      </c>
      <c r="AM301" t="s">
        <v>385</v>
      </c>
      <c r="AN301" t="s">
        <v>384</v>
      </c>
      <c r="AO301" t="s">
        <v>384</v>
      </c>
      <c r="AP301" t="s">
        <v>384</v>
      </c>
      <c r="AQ301" t="s">
        <v>384</v>
      </c>
      <c r="AR301" t="s">
        <v>384</v>
      </c>
      <c r="AS301" t="s">
        <v>384</v>
      </c>
      <c r="AT301" t="s">
        <v>384</v>
      </c>
      <c r="AU301" t="s">
        <v>384</v>
      </c>
      <c r="AV301" t="s">
        <v>384</v>
      </c>
      <c r="AW301" t="s">
        <v>384</v>
      </c>
      <c r="AX301" t="s">
        <v>385</v>
      </c>
      <c r="AY301" t="s">
        <v>384</v>
      </c>
      <c r="AZ301" t="s">
        <v>384</v>
      </c>
      <c r="BA301" t="s">
        <v>385</v>
      </c>
      <c r="BB301" t="s">
        <v>384</v>
      </c>
      <c r="BC301" t="s">
        <v>384</v>
      </c>
      <c r="BD301" t="s">
        <v>384</v>
      </c>
      <c r="BI301" t="s">
        <v>409</v>
      </c>
    </row>
    <row r="302" spans="1:61" x14ac:dyDescent="0.2">
      <c r="A302">
        <v>0</v>
      </c>
      <c r="B302">
        <v>916</v>
      </c>
      <c r="D302" t="s">
        <v>348</v>
      </c>
      <c r="E302" t="s">
        <v>333</v>
      </c>
      <c r="F302" t="s">
        <v>416</v>
      </c>
      <c r="G302" t="s">
        <v>378</v>
      </c>
      <c r="J302" t="s">
        <v>87</v>
      </c>
      <c r="K302" s="21">
        <v>46380</v>
      </c>
      <c r="L302" s="21">
        <v>46380</v>
      </c>
      <c r="P302" t="s">
        <v>379</v>
      </c>
      <c r="Q302" t="s">
        <v>379</v>
      </c>
      <c r="T302">
        <v>5705</v>
      </c>
      <c r="U302" t="s">
        <v>381</v>
      </c>
      <c r="AA302" t="s">
        <v>5</v>
      </c>
      <c r="AC302">
        <v>916</v>
      </c>
      <c r="AD302">
        <v>46221</v>
      </c>
      <c r="AE302">
        <v>46161</v>
      </c>
      <c r="AF302">
        <v>102</v>
      </c>
      <c r="AG302">
        <v>102</v>
      </c>
      <c r="AH302" t="s">
        <v>519</v>
      </c>
      <c r="AI302" t="b">
        <v>0</v>
      </c>
      <c r="AJ302" t="s">
        <v>950</v>
      </c>
      <c r="AK302" t="s">
        <v>384</v>
      </c>
      <c r="AL302" t="s">
        <v>385</v>
      </c>
      <c r="AM302" t="s">
        <v>385</v>
      </c>
      <c r="AN302" t="s">
        <v>384</v>
      </c>
      <c r="AO302" t="s">
        <v>384</v>
      </c>
      <c r="AP302" t="s">
        <v>384</v>
      </c>
      <c r="AQ302" t="s">
        <v>384</v>
      </c>
      <c r="AR302" t="s">
        <v>384</v>
      </c>
      <c r="AS302" t="s">
        <v>384</v>
      </c>
      <c r="AT302" t="s">
        <v>384</v>
      </c>
      <c r="AU302" t="s">
        <v>384</v>
      </c>
      <c r="AV302" t="s">
        <v>384</v>
      </c>
      <c r="AW302" t="s">
        <v>384</v>
      </c>
      <c r="AX302" t="s">
        <v>385</v>
      </c>
      <c r="AY302" t="s">
        <v>384</v>
      </c>
      <c r="AZ302" t="s">
        <v>384</v>
      </c>
      <c r="BA302" t="s">
        <v>385</v>
      </c>
      <c r="BB302" t="s">
        <v>384</v>
      </c>
      <c r="BC302" t="s">
        <v>384</v>
      </c>
      <c r="BD302" t="s">
        <v>384</v>
      </c>
      <c r="BI302" t="s">
        <v>333</v>
      </c>
    </row>
    <row r="303" spans="1:61" x14ac:dyDescent="0.2">
      <c r="A303">
        <v>0</v>
      </c>
      <c r="B303">
        <v>915</v>
      </c>
      <c r="D303" t="s">
        <v>348</v>
      </c>
      <c r="E303" t="s">
        <v>335</v>
      </c>
      <c r="F303" t="s">
        <v>416</v>
      </c>
      <c r="G303" t="s">
        <v>378</v>
      </c>
      <c r="J303" t="s">
        <v>87</v>
      </c>
      <c r="K303" s="21">
        <v>46381</v>
      </c>
      <c r="L303" s="21">
        <v>46381</v>
      </c>
      <c r="P303" t="s">
        <v>379</v>
      </c>
      <c r="Q303" t="s">
        <v>379</v>
      </c>
      <c r="T303">
        <v>5704</v>
      </c>
      <c r="U303" t="s">
        <v>381</v>
      </c>
      <c r="AA303" t="s">
        <v>5</v>
      </c>
      <c r="AC303">
        <v>915</v>
      </c>
      <c r="AD303">
        <v>46221</v>
      </c>
      <c r="AE303">
        <v>46161</v>
      </c>
      <c r="AF303">
        <v>102</v>
      </c>
      <c r="AG303">
        <v>102</v>
      </c>
      <c r="AH303" t="s">
        <v>519</v>
      </c>
      <c r="AI303" t="b">
        <v>0</v>
      </c>
      <c r="AJ303" t="s">
        <v>951</v>
      </c>
      <c r="AK303" t="s">
        <v>384</v>
      </c>
      <c r="AL303" t="s">
        <v>385</v>
      </c>
      <c r="AM303" t="s">
        <v>385</v>
      </c>
      <c r="AN303" t="s">
        <v>384</v>
      </c>
      <c r="AO303" t="s">
        <v>384</v>
      </c>
      <c r="AP303" t="s">
        <v>384</v>
      </c>
      <c r="AQ303" t="s">
        <v>384</v>
      </c>
      <c r="AR303" t="s">
        <v>384</v>
      </c>
      <c r="AS303" t="s">
        <v>384</v>
      </c>
      <c r="AT303" t="s">
        <v>384</v>
      </c>
      <c r="AU303" t="s">
        <v>384</v>
      </c>
      <c r="AV303" t="s">
        <v>384</v>
      </c>
      <c r="AW303" t="s">
        <v>384</v>
      </c>
      <c r="AX303" t="s">
        <v>385</v>
      </c>
      <c r="AY303" t="s">
        <v>384</v>
      </c>
      <c r="AZ303" t="s">
        <v>384</v>
      </c>
      <c r="BA303" t="s">
        <v>385</v>
      </c>
      <c r="BB303" t="s">
        <v>384</v>
      </c>
      <c r="BC303" t="s">
        <v>384</v>
      </c>
      <c r="BD303" t="s">
        <v>384</v>
      </c>
      <c r="BI303" t="s">
        <v>335</v>
      </c>
    </row>
    <row r="304" spans="1:61" x14ac:dyDescent="0.2">
      <c r="A304">
        <v>0</v>
      </c>
      <c r="B304">
        <v>1161</v>
      </c>
      <c r="D304" t="s">
        <v>348</v>
      </c>
      <c r="E304" t="s">
        <v>952</v>
      </c>
      <c r="F304" t="s">
        <v>953</v>
      </c>
      <c r="G304" t="s">
        <v>696</v>
      </c>
      <c r="I304" t="s">
        <v>658</v>
      </c>
      <c r="J304" t="s">
        <v>697</v>
      </c>
      <c r="K304" s="21">
        <v>46387</v>
      </c>
      <c r="L304" s="21">
        <v>46416</v>
      </c>
      <c r="P304" t="s">
        <v>379</v>
      </c>
      <c r="Q304" t="s">
        <v>379</v>
      </c>
      <c r="U304" t="s">
        <v>381</v>
      </c>
      <c r="X304">
        <v>12</v>
      </c>
      <c r="Y304" t="b">
        <v>1</v>
      </c>
      <c r="AA304" t="s">
        <v>4</v>
      </c>
      <c r="AB304" t="b">
        <v>1</v>
      </c>
      <c r="AC304">
        <v>1161</v>
      </c>
      <c r="AD304">
        <v>46219</v>
      </c>
      <c r="AE304">
        <v>46219</v>
      </c>
      <c r="AF304">
        <v>102</v>
      </c>
      <c r="AG304">
        <v>102</v>
      </c>
      <c r="AH304" t="s">
        <v>519</v>
      </c>
      <c r="AI304" t="b">
        <v>0</v>
      </c>
      <c r="AJ304" t="s">
        <v>954</v>
      </c>
      <c r="AK304" t="s">
        <v>384</v>
      </c>
      <c r="AL304" t="s">
        <v>385</v>
      </c>
      <c r="AM304" t="s">
        <v>385</v>
      </c>
      <c r="AN304" t="s">
        <v>384</v>
      </c>
      <c r="AO304" t="s">
        <v>384</v>
      </c>
      <c r="AP304" t="s">
        <v>384</v>
      </c>
      <c r="AQ304" t="s">
        <v>384</v>
      </c>
      <c r="AR304" t="s">
        <v>384</v>
      </c>
      <c r="AS304" t="s">
        <v>384</v>
      </c>
      <c r="AT304" t="s">
        <v>384</v>
      </c>
      <c r="AU304" t="s">
        <v>384</v>
      </c>
      <c r="AV304" t="s">
        <v>384</v>
      </c>
      <c r="AW304" t="s">
        <v>384</v>
      </c>
      <c r="AX304" t="s">
        <v>385</v>
      </c>
      <c r="AY304" t="s">
        <v>384</v>
      </c>
      <c r="AZ304" t="s">
        <v>384</v>
      </c>
      <c r="BA304" t="s">
        <v>385</v>
      </c>
      <c r="BB304" t="s">
        <v>384</v>
      </c>
      <c r="BC304" t="s">
        <v>384</v>
      </c>
      <c r="BD304" t="s">
        <v>384</v>
      </c>
      <c r="BH304" t="s">
        <v>662</v>
      </c>
      <c r="BI304" t="s">
        <v>955</v>
      </c>
    </row>
    <row r="305" spans="5:61" x14ac:dyDescent="0.2">
      <c r="E305" t="s">
        <v>130</v>
      </c>
      <c r="F305" t="s">
        <v>131</v>
      </c>
      <c r="J305" t="s">
        <v>87</v>
      </c>
      <c r="K305" s="21">
        <v>46388</v>
      </c>
      <c r="L305" s="21">
        <v>46388</v>
      </c>
      <c r="Z305" t="s">
        <v>128</v>
      </c>
      <c r="AA305" t="s">
        <v>94</v>
      </c>
      <c r="BG305" t="s">
        <v>132</v>
      </c>
      <c r="BI305" t="s">
        <v>130</v>
      </c>
    </row>
    <row r="306" spans="5:61" x14ac:dyDescent="0.2">
      <c r="E306" t="s">
        <v>133</v>
      </c>
      <c r="F306" t="s">
        <v>134</v>
      </c>
      <c r="J306" t="s">
        <v>87</v>
      </c>
      <c r="K306" s="21">
        <v>46388</v>
      </c>
      <c r="L306" s="21">
        <v>46388</v>
      </c>
      <c r="Z306" t="s">
        <v>128</v>
      </c>
      <c r="AA306" t="s">
        <v>94</v>
      </c>
      <c r="BG306" t="s">
        <v>135</v>
      </c>
      <c r="BI306" t="s">
        <v>133</v>
      </c>
    </row>
    <row r="307" spans="5:61" x14ac:dyDescent="0.2">
      <c r="E307" t="s">
        <v>112</v>
      </c>
      <c r="J307" t="s">
        <v>87</v>
      </c>
      <c r="K307" s="21">
        <v>46388</v>
      </c>
      <c r="L307" s="21">
        <v>46446</v>
      </c>
      <c r="AA307" t="s">
        <v>6</v>
      </c>
      <c r="BI307" t="s">
        <v>112</v>
      </c>
    </row>
    <row r="308" spans="5:61" x14ac:dyDescent="0.2">
      <c r="E308" t="s">
        <v>147</v>
      </c>
      <c r="J308" t="s">
        <v>87</v>
      </c>
      <c r="K308" s="21">
        <v>46388</v>
      </c>
      <c r="L308" s="21">
        <v>46388</v>
      </c>
      <c r="Z308" t="s">
        <v>140</v>
      </c>
      <c r="AA308" t="s">
        <v>94</v>
      </c>
      <c r="BF308" t="s">
        <v>141</v>
      </c>
      <c r="BG308" t="s">
        <v>138</v>
      </c>
      <c r="BI308" t="s">
        <v>147</v>
      </c>
    </row>
    <row r="309" spans="5:61" x14ac:dyDescent="0.2">
      <c r="E309" t="s">
        <v>126</v>
      </c>
      <c r="F309" t="s">
        <v>127</v>
      </c>
      <c r="J309" t="s">
        <v>87</v>
      </c>
      <c r="K309" s="21">
        <v>46388</v>
      </c>
      <c r="L309" s="21">
        <v>46388</v>
      </c>
      <c r="Z309" t="s">
        <v>128</v>
      </c>
      <c r="AA309" t="s">
        <v>94</v>
      </c>
      <c r="BG309" t="s">
        <v>129</v>
      </c>
      <c r="BI309" t="s">
        <v>126</v>
      </c>
    </row>
    <row r="310" spans="5:61" x14ac:dyDescent="0.2">
      <c r="E310" t="s">
        <v>109</v>
      </c>
      <c r="J310" t="s">
        <v>87</v>
      </c>
      <c r="K310" s="21">
        <v>46419</v>
      </c>
      <c r="L310" s="21">
        <v>46419</v>
      </c>
      <c r="AA310" t="s">
        <v>94</v>
      </c>
      <c r="BI310" t="s">
        <v>109</v>
      </c>
    </row>
    <row r="311" spans="5:61" x14ac:dyDescent="0.2">
      <c r="E311" t="s">
        <v>148</v>
      </c>
      <c r="J311" t="s">
        <v>87</v>
      </c>
      <c r="K311" s="21">
        <v>46419</v>
      </c>
      <c r="L311" s="21">
        <v>46419</v>
      </c>
      <c r="Z311" t="s">
        <v>140</v>
      </c>
      <c r="AA311" t="s">
        <v>94</v>
      </c>
      <c r="BF311" t="s">
        <v>149</v>
      </c>
      <c r="BG311" t="s">
        <v>150</v>
      </c>
      <c r="BI311" t="s">
        <v>148</v>
      </c>
    </row>
    <row r="312" spans="5:61" x14ac:dyDescent="0.2">
      <c r="E312" t="s">
        <v>156</v>
      </c>
      <c r="F312" t="s">
        <v>157</v>
      </c>
      <c r="J312" t="s">
        <v>87</v>
      </c>
      <c r="K312" s="21">
        <v>46419</v>
      </c>
      <c r="L312" s="21">
        <v>46419</v>
      </c>
      <c r="Z312" t="s">
        <v>158</v>
      </c>
      <c r="AA312" t="s">
        <v>94</v>
      </c>
      <c r="BG312" t="s">
        <v>150</v>
      </c>
      <c r="BI312" t="s">
        <v>156</v>
      </c>
    </row>
    <row r="313" spans="5:61" x14ac:dyDescent="0.2">
      <c r="E313" t="s">
        <v>124</v>
      </c>
      <c r="J313" t="s">
        <v>87</v>
      </c>
      <c r="K313" s="21">
        <v>46419</v>
      </c>
      <c r="L313" s="21">
        <v>46419</v>
      </c>
      <c r="AA313" t="s">
        <v>6</v>
      </c>
      <c r="BI313" t="s">
        <v>124</v>
      </c>
    </row>
    <row r="314" spans="5:61" x14ac:dyDescent="0.2">
      <c r="E314" t="s">
        <v>111</v>
      </c>
      <c r="J314" t="s">
        <v>87</v>
      </c>
      <c r="K314" s="21">
        <v>46447</v>
      </c>
      <c r="L314" s="21">
        <v>46447</v>
      </c>
      <c r="AA314" t="s">
        <v>94</v>
      </c>
      <c r="BI314" t="s">
        <v>111</v>
      </c>
    </row>
    <row r="315" spans="5:61" x14ac:dyDescent="0.2">
      <c r="E315" t="s">
        <v>175</v>
      </c>
      <c r="F315" t="s">
        <v>176</v>
      </c>
      <c r="J315" t="s">
        <v>87</v>
      </c>
      <c r="K315" s="21">
        <v>46447</v>
      </c>
      <c r="L315" s="21">
        <v>46447</v>
      </c>
      <c r="Z315" t="s">
        <v>158</v>
      </c>
      <c r="AA315" t="s">
        <v>94</v>
      </c>
      <c r="BF315" t="s">
        <v>177</v>
      </c>
      <c r="BG315" t="s">
        <v>150</v>
      </c>
      <c r="BI315" t="s">
        <v>175</v>
      </c>
    </row>
    <row r="316" spans="5:61" x14ac:dyDescent="0.2">
      <c r="E316" t="s">
        <v>139</v>
      </c>
      <c r="J316" t="s">
        <v>87</v>
      </c>
      <c r="K316" s="21">
        <v>46447</v>
      </c>
      <c r="L316" s="21">
        <v>46447</v>
      </c>
      <c r="Z316" t="s">
        <v>140</v>
      </c>
      <c r="AA316" t="s">
        <v>94</v>
      </c>
      <c r="BF316" t="s">
        <v>141</v>
      </c>
      <c r="BG316" t="s">
        <v>135</v>
      </c>
      <c r="BI316" t="s">
        <v>139</v>
      </c>
    </row>
    <row r="317" spans="5:61" x14ac:dyDescent="0.2">
      <c r="E317" t="s">
        <v>159</v>
      </c>
      <c r="J317" t="s">
        <v>87</v>
      </c>
      <c r="K317" s="21">
        <v>46447</v>
      </c>
      <c r="L317" s="21">
        <v>46447</v>
      </c>
      <c r="Z317" t="s">
        <v>158</v>
      </c>
      <c r="AA317" t="s">
        <v>94</v>
      </c>
      <c r="BG317" t="s">
        <v>150</v>
      </c>
      <c r="BI317" t="s">
        <v>159</v>
      </c>
    </row>
    <row r="318" spans="5:61" x14ac:dyDescent="0.2">
      <c r="E318" t="s">
        <v>106</v>
      </c>
      <c r="J318" t="s">
        <v>87</v>
      </c>
      <c r="K318" s="21">
        <v>46447</v>
      </c>
      <c r="L318" s="21">
        <v>46447</v>
      </c>
      <c r="AA318" t="s">
        <v>94</v>
      </c>
      <c r="BI318" t="s">
        <v>106</v>
      </c>
    </row>
    <row r="319" spans="5:61" x14ac:dyDescent="0.2">
      <c r="E319" t="s">
        <v>99</v>
      </c>
      <c r="J319" t="s">
        <v>87</v>
      </c>
      <c r="K319" s="21">
        <v>46459</v>
      </c>
      <c r="L319" s="21">
        <v>46459</v>
      </c>
      <c r="AA319" t="s">
        <v>94</v>
      </c>
      <c r="BI319" t="s">
        <v>99</v>
      </c>
    </row>
    <row r="320" spans="5:61" x14ac:dyDescent="0.2">
      <c r="E320" t="s">
        <v>95</v>
      </c>
      <c r="J320" t="s">
        <v>87</v>
      </c>
      <c r="K320" s="21">
        <v>46472</v>
      </c>
      <c r="L320" s="21">
        <v>46475</v>
      </c>
      <c r="AA320" t="s">
        <v>88</v>
      </c>
      <c r="BI320" t="s">
        <v>95</v>
      </c>
    </row>
    <row r="321" spans="5:61" x14ac:dyDescent="0.2">
      <c r="E321" t="s">
        <v>86</v>
      </c>
      <c r="J321" t="s">
        <v>87</v>
      </c>
      <c r="K321" s="21">
        <v>46472</v>
      </c>
      <c r="L321" s="21">
        <v>46488</v>
      </c>
      <c r="AA321" t="s">
        <v>88</v>
      </c>
      <c r="BI321" t="s">
        <v>86</v>
      </c>
    </row>
    <row r="322" spans="5:61" x14ac:dyDescent="0.2">
      <c r="E322" t="s">
        <v>114</v>
      </c>
      <c r="J322" t="s">
        <v>87</v>
      </c>
      <c r="K322" s="21">
        <v>46478</v>
      </c>
      <c r="L322" s="21">
        <v>46507</v>
      </c>
      <c r="AA322" t="s">
        <v>6</v>
      </c>
      <c r="BI322" t="s">
        <v>114</v>
      </c>
    </row>
    <row r="323" spans="5:61" x14ac:dyDescent="0.2">
      <c r="E323" t="s">
        <v>136</v>
      </c>
      <c r="F323" t="s">
        <v>137</v>
      </c>
      <c r="J323" t="s">
        <v>87</v>
      </c>
      <c r="K323" s="21">
        <v>46478</v>
      </c>
      <c r="L323" s="21">
        <v>46478</v>
      </c>
      <c r="Z323" t="s">
        <v>128</v>
      </c>
      <c r="AA323" t="s">
        <v>94</v>
      </c>
      <c r="BG323" t="s">
        <v>138</v>
      </c>
      <c r="BI323" t="s">
        <v>136</v>
      </c>
    </row>
    <row r="324" spans="5:61" x14ac:dyDescent="0.2">
      <c r="E324" t="s">
        <v>160</v>
      </c>
      <c r="J324" t="s">
        <v>87</v>
      </c>
      <c r="K324" s="21">
        <v>46478</v>
      </c>
      <c r="L324" s="21">
        <v>46478</v>
      </c>
      <c r="Z324" t="s">
        <v>158</v>
      </c>
      <c r="AA324" t="s">
        <v>94</v>
      </c>
      <c r="BG324" t="s">
        <v>135</v>
      </c>
      <c r="BI324" t="s">
        <v>160</v>
      </c>
    </row>
    <row r="325" spans="5:61" x14ac:dyDescent="0.2">
      <c r="E325" t="s">
        <v>103</v>
      </c>
      <c r="J325" t="s">
        <v>87</v>
      </c>
      <c r="K325" s="21">
        <v>46508</v>
      </c>
      <c r="L325" s="21">
        <v>46508</v>
      </c>
      <c r="AA325" t="s">
        <v>94</v>
      </c>
      <c r="BI325" t="s">
        <v>103</v>
      </c>
    </row>
    <row r="326" spans="5:61" x14ac:dyDescent="0.2">
      <c r="E326" t="s">
        <v>142</v>
      </c>
      <c r="J326" t="s">
        <v>87</v>
      </c>
      <c r="K326" s="21">
        <v>46508</v>
      </c>
      <c r="L326" s="21">
        <v>46508</v>
      </c>
      <c r="Z326" t="s">
        <v>140</v>
      </c>
      <c r="AA326" t="s">
        <v>94</v>
      </c>
      <c r="BF326" t="s">
        <v>141</v>
      </c>
      <c r="BG326" t="s">
        <v>135</v>
      </c>
      <c r="BI326" t="s">
        <v>142</v>
      </c>
    </row>
    <row r="327" spans="5:61" x14ac:dyDescent="0.2">
      <c r="E327" t="s">
        <v>164</v>
      </c>
      <c r="F327" t="s">
        <v>165</v>
      </c>
      <c r="J327" t="s">
        <v>87</v>
      </c>
      <c r="K327" s="21">
        <v>46508</v>
      </c>
      <c r="L327" s="21">
        <v>46508</v>
      </c>
      <c r="Z327" t="s">
        <v>158</v>
      </c>
      <c r="AA327" t="s">
        <v>94</v>
      </c>
      <c r="BF327" t="s">
        <v>166</v>
      </c>
      <c r="BG327" t="s">
        <v>132</v>
      </c>
      <c r="BI327" t="s">
        <v>164</v>
      </c>
    </row>
    <row r="328" spans="5:61" x14ac:dyDescent="0.2">
      <c r="E328" t="s">
        <v>175</v>
      </c>
      <c r="F328" t="s">
        <v>176</v>
      </c>
      <c r="J328" t="s">
        <v>87</v>
      </c>
      <c r="K328" s="21">
        <v>46508</v>
      </c>
      <c r="L328" s="21">
        <v>46508</v>
      </c>
      <c r="Z328" t="s">
        <v>158</v>
      </c>
      <c r="AA328" t="s">
        <v>94</v>
      </c>
      <c r="BF328" t="s">
        <v>177</v>
      </c>
      <c r="BG328" t="s">
        <v>150</v>
      </c>
      <c r="BI328" t="s">
        <v>175</v>
      </c>
    </row>
    <row r="329" spans="5:61" x14ac:dyDescent="0.2">
      <c r="E329" t="s">
        <v>163</v>
      </c>
      <c r="F329" t="s">
        <v>162</v>
      </c>
      <c r="J329" t="s">
        <v>87</v>
      </c>
      <c r="K329" s="21">
        <v>46508</v>
      </c>
      <c r="L329" s="21">
        <v>46508</v>
      </c>
      <c r="Z329" t="s">
        <v>158</v>
      </c>
      <c r="AA329" t="s">
        <v>94</v>
      </c>
      <c r="BG329" t="s">
        <v>138</v>
      </c>
      <c r="BI329" t="s">
        <v>163</v>
      </c>
    </row>
    <row r="330" spans="5:61" x14ac:dyDescent="0.2">
      <c r="E330" t="s">
        <v>113</v>
      </c>
      <c r="J330" t="s">
        <v>87</v>
      </c>
      <c r="K330" s="21">
        <v>46508</v>
      </c>
      <c r="L330" s="21">
        <v>46508</v>
      </c>
      <c r="AA330" t="s">
        <v>94</v>
      </c>
      <c r="BI330" t="s">
        <v>113</v>
      </c>
    </row>
    <row r="331" spans="5:61" x14ac:dyDescent="0.2">
      <c r="E331" t="s">
        <v>161</v>
      </c>
      <c r="F331" t="s">
        <v>162</v>
      </c>
      <c r="J331" t="s">
        <v>87</v>
      </c>
      <c r="K331" s="21">
        <v>46508</v>
      </c>
      <c r="L331" s="21">
        <v>46508</v>
      </c>
      <c r="Z331" t="s">
        <v>158</v>
      </c>
      <c r="AA331" t="s">
        <v>94</v>
      </c>
      <c r="BG331" t="s">
        <v>135</v>
      </c>
      <c r="BI331" t="s">
        <v>161</v>
      </c>
    </row>
    <row r="332" spans="5:61" x14ac:dyDescent="0.2">
      <c r="E332" t="s">
        <v>167</v>
      </c>
      <c r="J332" t="s">
        <v>87</v>
      </c>
      <c r="K332" s="21">
        <v>46539</v>
      </c>
      <c r="L332" s="21">
        <v>46539</v>
      </c>
      <c r="Z332" t="s">
        <v>158</v>
      </c>
      <c r="AA332" t="s">
        <v>94</v>
      </c>
      <c r="BG332" t="s">
        <v>135</v>
      </c>
      <c r="BI332" t="s">
        <v>167</v>
      </c>
    </row>
    <row r="333" spans="5:61" x14ac:dyDescent="0.2">
      <c r="E333" t="s">
        <v>116</v>
      </c>
      <c r="J333" t="s">
        <v>87</v>
      </c>
      <c r="K333" s="21">
        <v>46539</v>
      </c>
      <c r="L333" s="21">
        <v>46539</v>
      </c>
      <c r="AA333" t="s">
        <v>6</v>
      </c>
      <c r="BI333" t="s">
        <v>116</v>
      </c>
    </row>
    <row r="334" spans="5:61" x14ac:dyDescent="0.2">
      <c r="E334" t="s">
        <v>143</v>
      </c>
      <c r="J334" t="s">
        <v>87</v>
      </c>
      <c r="K334" s="21">
        <v>46539</v>
      </c>
      <c r="L334" s="21">
        <v>46539</v>
      </c>
      <c r="Z334" t="s">
        <v>140</v>
      </c>
      <c r="AA334" t="s">
        <v>94</v>
      </c>
      <c r="BF334" t="s">
        <v>144</v>
      </c>
      <c r="BG334" t="s">
        <v>135</v>
      </c>
      <c r="BI334" t="s">
        <v>143</v>
      </c>
    </row>
    <row r="335" spans="5:61" x14ac:dyDescent="0.2">
      <c r="E335" t="s">
        <v>107</v>
      </c>
      <c r="J335" t="s">
        <v>87</v>
      </c>
      <c r="K335" s="21">
        <v>46539</v>
      </c>
      <c r="L335" s="21">
        <v>46539</v>
      </c>
      <c r="AA335" t="s">
        <v>94</v>
      </c>
      <c r="BI335" t="s">
        <v>107</v>
      </c>
    </row>
    <row r="336" spans="5:61" x14ac:dyDescent="0.2">
      <c r="E336" t="s">
        <v>90</v>
      </c>
      <c r="J336" t="s">
        <v>87</v>
      </c>
      <c r="K336" s="21">
        <v>46564</v>
      </c>
      <c r="L336" s="21">
        <v>46579</v>
      </c>
      <c r="AA336" t="s">
        <v>88</v>
      </c>
      <c r="BI336" t="s">
        <v>90</v>
      </c>
    </row>
    <row r="337" spans="5:61" x14ac:dyDescent="0.2">
      <c r="E337" t="s">
        <v>145</v>
      </c>
      <c r="J337" t="s">
        <v>87</v>
      </c>
      <c r="K337" s="21">
        <v>46569</v>
      </c>
      <c r="L337" s="21">
        <v>46569</v>
      </c>
      <c r="Z337" t="s">
        <v>140</v>
      </c>
      <c r="AA337" t="s">
        <v>94</v>
      </c>
      <c r="BF337" t="s">
        <v>141</v>
      </c>
      <c r="BG337" t="s">
        <v>135</v>
      </c>
      <c r="BI337" t="s">
        <v>145</v>
      </c>
    </row>
    <row r="338" spans="5:61" x14ac:dyDescent="0.2">
      <c r="E338" t="s">
        <v>168</v>
      </c>
      <c r="F338" t="s">
        <v>169</v>
      </c>
      <c r="J338" t="s">
        <v>87</v>
      </c>
      <c r="K338" s="21">
        <v>46569</v>
      </c>
      <c r="L338" s="21">
        <v>46569</v>
      </c>
      <c r="Z338" t="s">
        <v>158</v>
      </c>
      <c r="AA338" t="s">
        <v>94</v>
      </c>
      <c r="BG338" t="s">
        <v>170</v>
      </c>
      <c r="BI338" t="s">
        <v>168</v>
      </c>
    </row>
    <row r="339" spans="5:61" x14ac:dyDescent="0.2">
      <c r="E339" t="s">
        <v>175</v>
      </c>
      <c r="F339" t="s">
        <v>176</v>
      </c>
      <c r="J339" t="s">
        <v>87</v>
      </c>
      <c r="K339" s="21">
        <v>46569</v>
      </c>
      <c r="L339" s="21">
        <v>46569</v>
      </c>
      <c r="Z339" t="s">
        <v>158</v>
      </c>
      <c r="AA339" t="s">
        <v>94</v>
      </c>
      <c r="BF339" t="s">
        <v>177</v>
      </c>
      <c r="BG339" t="s">
        <v>150</v>
      </c>
      <c r="BI339" t="s">
        <v>175</v>
      </c>
    </row>
    <row r="340" spans="5:61" x14ac:dyDescent="0.2">
      <c r="E340" t="s">
        <v>153</v>
      </c>
      <c r="F340" t="s">
        <v>154</v>
      </c>
      <c r="J340" t="s">
        <v>87</v>
      </c>
      <c r="K340" s="21">
        <v>46569</v>
      </c>
      <c r="L340" s="21">
        <v>46569</v>
      </c>
      <c r="Z340" t="s">
        <v>140</v>
      </c>
      <c r="AA340" t="s">
        <v>94</v>
      </c>
      <c r="BF340" t="s">
        <v>155</v>
      </c>
      <c r="BG340" t="s">
        <v>150</v>
      </c>
      <c r="BI340" t="s">
        <v>153</v>
      </c>
    </row>
    <row r="341" spans="5:61" x14ac:dyDescent="0.2">
      <c r="E341" t="s">
        <v>115</v>
      </c>
      <c r="J341" t="s">
        <v>87</v>
      </c>
      <c r="K341" s="21">
        <v>46569</v>
      </c>
      <c r="L341" s="21">
        <v>46569</v>
      </c>
      <c r="AA341" t="s">
        <v>94</v>
      </c>
      <c r="BI341" t="s">
        <v>115</v>
      </c>
    </row>
    <row r="342" spans="5:61" x14ac:dyDescent="0.2">
      <c r="E342" t="s">
        <v>106</v>
      </c>
      <c r="J342" t="s">
        <v>87</v>
      </c>
      <c r="K342" s="21">
        <v>46569</v>
      </c>
      <c r="L342" s="21">
        <v>46569</v>
      </c>
      <c r="AA342" t="s">
        <v>94</v>
      </c>
      <c r="BI342" t="s">
        <v>106</v>
      </c>
    </row>
    <row r="343" spans="5:61" x14ac:dyDescent="0.2">
      <c r="E343" t="s">
        <v>120</v>
      </c>
      <c r="J343" t="s">
        <v>87</v>
      </c>
      <c r="K343" s="21">
        <v>46600</v>
      </c>
      <c r="L343" s="21">
        <v>46600</v>
      </c>
      <c r="AA343" t="s">
        <v>6</v>
      </c>
      <c r="BI343" t="s">
        <v>120</v>
      </c>
    </row>
    <row r="344" spans="5:61" x14ac:dyDescent="0.2">
      <c r="E344" t="s">
        <v>102</v>
      </c>
      <c r="J344" t="s">
        <v>87</v>
      </c>
      <c r="K344" s="21">
        <v>46613</v>
      </c>
      <c r="L344" s="21">
        <v>46614</v>
      </c>
      <c r="AA344" t="s">
        <v>94</v>
      </c>
      <c r="BI344" t="s">
        <v>102</v>
      </c>
    </row>
    <row r="345" spans="5:61" x14ac:dyDescent="0.2">
      <c r="E345" t="s">
        <v>93</v>
      </c>
      <c r="J345" t="s">
        <v>87</v>
      </c>
      <c r="K345" s="21">
        <v>46619</v>
      </c>
      <c r="L345" s="21">
        <v>46621</v>
      </c>
      <c r="AA345" t="s">
        <v>94</v>
      </c>
      <c r="BI345" t="s">
        <v>93</v>
      </c>
    </row>
    <row r="346" spans="5:61" x14ac:dyDescent="0.2">
      <c r="E346" t="s">
        <v>101</v>
      </c>
      <c r="J346" t="s">
        <v>87</v>
      </c>
      <c r="K346" s="21">
        <v>46620</v>
      </c>
      <c r="L346" s="21">
        <v>46622</v>
      </c>
      <c r="AA346" t="s">
        <v>94</v>
      </c>
      <c r="BI346" t="s">
        <v>101</v>
      </c>
    </row>
    <row r="347" spans="5:61" x14ac:dyDescent="0.2">
      <c r="E347" t="s">
        <v>118</v>
      </c>
      <c r="J347" t="s">
        <v>87</v>
      </c>
      <c r="K347" s="21">
        <v>46631</v>
      </c>
      <c r="L347" s="21">
        <v>46631</v>
      </c>
      <c r="AA347" t="s">
        <v>94</v>
      </c>
      <c r="BI347" t="s">
        <v>118</v>
      </c>
    </row>
    <row r="348" spans="5:61" x14ac:dyDescent="0.2">
      <c r="E348" t="s">
        <v>175</v>
      </c>
      <c r="F348" t="s">
        <v>176</v>
      </c>
      <c r="J348" t="s">
        <v>87</v>
      </c>
      <c r="K348" s="21">
        <v>46631</v>
      </c>
      <c r="L348" s="21">
        <v>46631</v>
      </c>
      <c r="Z348" t="s">
        <v>158</v>
      </c>
      <c r="AA348" t="s">
        <v>94</v>
      </c>
      <c r="BF348" t="s">
        <v>177</v>
      </c>
      <c r="BG348" t="s">
        <v>150</v>
      </c>
      <c r="BI348" t="s">
        <v>175</v>
      </c>
    </row>
    <row r="349" spans="5:61" x14ac:dyDescent="0.2">
      <c r="E349" t="s">
        <v>108</v>
      </c>
      <c r="J349" t="s">
        <v>87</v>
      </c>
      <c r="K349" s="21">
        <v>46631</v>
      </c>
      <c r="L349" s="21">
        <v>46631</v>
      </c>
      <c r="AA349" t="s">
        <v>6</v>
      </c>
      <c r="BI349" t="s">
        <v>108</v>
      </c>
    </row>
    <row r="350" spans="5:61" x14ac:dyDescent="0.2">
      <c r="E350" t="s">
        <v>161</v>
      </c>
      <c r="F350" t="s">
        <v>162</v>
      </c>
      <c r="J350" t="s">
        <v>87</v>
      </c>
      <c r="K350" s="21">
        <v>46631</v>
      </c>
      <c r="L350" s="21">
        <v>46631</v>
      </c>
      <c r="Z350" t="s">
        <v>158</v>
      </c>
      <c r="AA350" t="s">
        <v>94</v>
      </c>
      <c r="BG350" t="s">
        <v>135</v>
      </c>
      <c r="BI350" t="s">
        <v>161</v>
      </c>
    </row>
    <row r="351" spans="5:61" x14ac:dyDescent="0.2">
      <c r="E351" t="s">
        <v>163</v>
      </c>
      <c r="F351" t="s">
        <v>162</v>
      </c>
      <c r="J351" t="s">
        <v>87</v>
      </c>
      <c r="K351" s="21">
        <v>46631</v>
      </c>
      <c r="L351" s="21">
        <v>46631</v>
      </c>
      <c r="Z351" t="s">
        <v>158</v>
      </c>
      <c r="AA351" t="s">
        <v>94</v>
      </c>
      <c r="BG351" t="s">
        <v>138</v>
      </c>
      <c r="BI351" t="s">
        <v>163</v>
      </c>
    </row>
    <row r="352" spans="5:61" x14ac:dyDescent="0.2">
      <c r="E352" t="s">
        <v>91</v>
      </c>
      <c r="J352" t="s">
        <v>87</v>
      </c>
      <c r="K352" s="21">
        <v>46648</v>
      </c>
      <c r="L352" s="21">
        <v>46664</v>
      </c>
      <c r="AA352" t="s">
        <v>88</v>
      </c>
      <c r="BI352" t="s">
        <v>91</v>
      </c>
    </row>
    <row r="353" spans="1:61" x14ac:dyDescent="0.2">
      <c r="E353" t="s">
        <v>164</v>
      </c>
      <c r="F353" t="s">
        <v>165</v>
      </c>
      <c r="J353" t="s">
        <v>87</v>
      </c>
      <c r="K353" s="21">
        <v>46661</v>
      </c>
      <c r="L353" s="21">
        <v>46661</v>
      </c>
      <c r="Z353" t="s">
        <v>158</v>
      </c>
      <c r="AA353" t="s">
        <v>94</v>
      </c>
      <c r="BF353" t="s">
        <v>166</v>
      </c>
      <c r="BG353" t="s">
        <v>132</v>
      </c>
      <c r="BI353" t="s">
        <v>164</v>
      </c>
    </row>
    <row r="354" spans="1:61" x14ac:dyDescent="0.2">
      <c r="E354" t="s">
        <v>174</v>
      </c>
      <c r="J354" t="s">
        <v>87</v>
      </c>
      <c r="K354" s="21">
        <v>46661</v>
      </c>
      <c r="L354" s="21">
        <v>46661</v>
      </c>
      <c r="Z354" t="s">
        <v>158</v>
      </c>
      <c r="AA354" t="s">
        <v>94</v>
      </c>
      <c r="BG354" t="s">
        <v>135</v>
      </c>
      <c r="BI354" t="s">
        <v>174</v>
      </c>
    </row>
    <row r="355" spans="1:61" x14ac:dyDescent="0.2">
      <c r="E355" t="s">
        <v>171</v>
      </c>
      <c r="F355" t="s">
        <v>172</v>
      </c>
      <c r="J355" t="s">
        <v>87</v>
      </c>
      <c r="K355" s="21">
        <v>46661</v>
      </c>
      <c r="L355" s="21">
        <v>46661</v>
      </c>
      <c r="Z355" t="s">
        <v>158</v>
      </c>
      <c r="AA355" t="s">
        <v>94</v>
      </c>
      <c r="BF355" t="s">
        <v>173</v>
      </c>
      <c r="BG355" t="s">
        <v>132</v>
      </c>
      <c r="BI355" t="s">
        <v>171</v>
      </c>
    </row>
    <row r="356" spans="1:61" x14ac:dyDescent="0.2">
      <c r="E356" t="s">
        <v>122</v>
      </c>
      <c r="J356" t="s">
        <v>87</v>
      </c>
      <c r="K356" s="21">
        <v>46661</v>
      </c>
      <c r="L356" s="21">
        <v>46661</v>
      </c>
      <c r="AA356" t="s">
        <v>94</v>
      </c>
      <c r="BI356" t="s">
        <v>122</v>
      </c>
    </row>
    <row r="357" spans="1:61" x14ac:dyDescent="0.2">
      <c r="E357" t="s">
        <v>105</v>
      </c>
      <c r="J357" t="s">
        <v>87</v>
      </c>
      <c r="K357" s="21">
        <v>46661</v>
      </c>
      <c r="L357" s="21">
        <v>46661</v>
      </c>
      <c r="AA357" t="s">
        <v>94</v>
      </c>
      <c r="BI357" t="s">
        <v>105</v>
      </c>
    </row>
    <row r="358" spans="1:61" x14ac:dyDescent="0.2">
      <c r="E358" t="s">
        <v>151</v>
      </c>
      <c r="J358" t="s">
        <v>87</v>
      </c>
      <c r="K358" s="21">
        <v>46661</v>
      </c>
      <c r="L358" s="21">
        <v>46661</v>
      </c>
      <c r="Z358" t="s">
        <v>140</v>
      </c>
      <c r="AA358" t="s">
        <v>94</v>
      </c>
      <c r="BF358" t="s">
        <v>149</v>
      </c>
      <c r="BG358" t="s">
        <v>150</v>
      </c>
      <c r="BI358" t="s">
        <v>151</v>
      </c>
    </row>
    <row r="359" spans="1:61" x14ac:dyDescent="0.2">
      <c r="E359" t="s">
        <v>159</v>
      </c>
      <c r="J359" t="s">
        <v>87</v>
      </c>
      <c r="K359" s="21">
        <v>46692</v>
      </c>
      <c r="L359" s="21">
        <v>46692</v>
      </c>
      <c r="Z359" t="s">
        <v>158</v>
      </c>
      <c r="AA359" t="s">
        <v>94</v>
      </c>
      <c r="BG359" t="s">
        <v>150</v>
      </c>
      <c r="BI359" t="s">
        <v>159</v>
      </c>
    </row>
    <row r="360" spans="1:61" x14ac:dyDescent="0.2">
      <c r="E360" t="s">
        <v>175</v>
      </c>
      <c r="F360" t="s">
        <v>176</v>
      </c>
      <c r="J360" t="s">
        <v>87</v>
      </c>
      <c r="K360" s="21">
        <v>46692</v>
      </c>
      <c r="L360" s="21">
        <v>46692</v>
      </c>
      <c r="Z360" t="s">
        <v>158</v>
      </c>
      <c r="AA360" t="s">
        <v>94</v>
      </c>
      <c r="BF360" t="s">
        <v>177</v>
      </c>
      <c r="BG360" t="s">
        <v>150</v>
      </c>
      <c r="BI360" t="s">
        <v>175</v>
      </c>
    </row>
    <row r="361" spans="1:61" x14ac:dyDescent="0.2">
      <c r="E361" t="s">
        <v>152</v>
      </c>
      <c r="J361" t="s">
        <v>87</v>
      </c>
      <c r="K361" s="21">
        <v>46692</v>
      </c>
      <c r="L361" s="21">
        <v>46692</v>
      </c>
      <c r="Z361" t="s">
        <v>140</v>
      </c>
      <c r="AA361" t="s">
        <v>94</v>
      </c>
      <c r="BF361" t="s">
        <v>149</v>
      </c>
      <c r="BG361" t="s">
        <v>150</v>
      </c>
      <c r="BI361" t="s">
        <v>152</v>
      </c>
    </row>
    <row r="362" spans="1:61" x14ac:dyDescent="0.2">
      <c r="E362" t="s">
        <v>146</v>
      </c>
      <c r="J362" t="s">
        <v>87</v>
      </c>
      <c r="K362" s="21">
        <v>46692</v>
      </c>
      <c r="L362" s="21">
        <v>46692</v>
      </c>
      <c r="Z362" t="s">
        <v>140</v>
      </c>
      <c r="AA362" t="s">
        <v>94</v>
      </c>
      <c r="BF362" t="s">
        <v>141</v>
      </c>
      <c r="BG362" t="s">
        <v>135</v>
      </c>
      <c r="BI362" t="s">
        <v>146</v>
      </c>
    </row>
    <row r="363" spans="1:61" x14ac:dyDescent="0.2">
      <c r="E363" t="s">
        <v>106</v>
      </c>
      <c r="J363" t="s">
        <v>87</v>
      </c>
      <c r="K363" s="21">
        <v>46692</v>
      </c>
      <c r="L363" s="21">
        <v>46692</v>
      </c>
      <c r="AA363" t="s">
        <v>94</v>
      </c>
      <c r="BI363" t="s">
        <v>106</v>
      </c>
    </row>
    <row r="364" spans="1:61" x14ac:dyDescent="0.2">
      <c r="E364" t="s">
        <v>92</v>
      </c>
      <c r="J364" t="s">
        <v>87</v>
      </c>
      <c r="K364" s="21">
        <v>46732</v>
      </c>
      <c r="L364" s="21">
        <v>46775</v>
      </c>
      <c r="AA364" t="s">
        <v>88</v>
      </c>
      <c r="BI364" t="s">
        <v>92</v>
      </c>
    </row>
    <row r="365" spans="1:61" x14ac:dyDescent="0.2">
      <c r="A365">
        <v>0</v>
      </c>
      <c r="B365">
        <v>1181</v>
      </c>
      <c r="D365" t="s">
        <v>348</v>
      </c>
      <c r="E365" t="s">
        <v>956</v>
      </c>
      <c r="G365" t="s">
        <v>696</v>
      </c>
      <c r="I365" t="s">
        <v>658</v>
      </c>
      <c r="J365" t="s">
        <v>697</v>
      </c>
      <c r="K365" s="21">
        <v>46749</v>
      </c>
      <c r="L365" s="21">
        <v>46758</v>
      </c>
      <c r="P365" t="s">
        <v>379</v>
      </c>
      <c r="Q365" t="s">
        <v>379</v>
      </c>
      <c r="U365" t="s">
        <v>381</v>
      </c>
      <c r="Y365" t="b">
        <v>1</v>
      </c>
      <c r="AA365" t="s">
        <v>94</v>
      </c>
      <c r="AB365" t="b">
        <v>0</v>
      </c>
      <c r="AC365">
        <v>1181</v>
      </c>
      <c r="AD365">
        <v>46226</v>
      </c>
      <c r="AE365">
        <v>46225</v>
      </c>
      <c r="AF365">
        <v>102</v>
      </c>
      <c r="AG365">
        <v>102</v>
      </c>
      <c r="AH365" t="s">
        <v>519</v>
      </c>
      <c r="AI365" t="b">
        <v>0</v>
      </c>
      <c r="AJ365" t="s">
        <v>957</v>
      </c>
      <c r="AK365" t="s">
        <v>384</v>
      </c>
      <c r="AL365" t="s">
        <v>385</v>
      </c>
      <c r="AM365" t="s">
        <v>385</v>
      </c>
      <c r="AN365" t="s">
        <v>384</v>
      </c>
      <c r="AO365" t="s">
        <v>384</v>
      </c>
      <c r="AP365" t="s">
        <v>384</v>
      </c>
      <c r="AQ365" t="s">
        <v>384</v>
      </c>
      <c r="AR365" t="s">
        <v>384</v>
      </c>
      <c r="AS365" t="s">
        <v>384</v>
      </c>
      <c r="AT365" t="s">
        <v>384</v>
      </c>
      <c r="AU365" t="s">
        <v>384</v>
      </c>
      <c r="AV365" t="s">
        <v>384</v>
      </c>
      <c r="AW365" t="s">
        <v>384</v>
      </c>
      <c r="AX365" t="s">
        <v>385</v>
      </c>
      <c r="AY365" t="s">
        <v>384</v>
      </c>
      <c r="AZ365" t="s">
        <v>384</v>
      </c>
      <c r="BA365" t="s">
        <v>385</v>
      </c>
      <c r="BB365" t="s">
        <v>384</v>
      </c>
      <c r="BC365" t="s">
        <v>384</v>
      </c>
      <c r="BD365" t="s">
        <v>384</v>
      </c>
      <c r="BI365" t="s">
        <v>956</v>
      </c>
    </row>
    <row r="366" spans="1:61" x14ac:dyDescent="0.2">
      <c r="E366" t="s">
        <v>86</v>
      </c>
      <c r="J366" t="s">
        <v>87</v>
      </c>
      <c r="K366" s="21">
        <v>46844</v>
      </c>
      <c r="L366" s="21">
        <v>46860</v>
      </c>
      <c r="AA366" t="s">
        <v>88</v>
      </c>
      <c r="BI366" t="s">
        <v>86</v>
      </c>
    </row>
    <row r="367" spans="1:61" x14ac:dyDescent="0.2">
      <c r="E367" t="s">
        <v>96</v>
      </c>
      <c r="J367" t="s">
        <v>87</v>
      </c>
      <c r="K367" s="21">
        <v>46857</v>
      </c>
      <c r="L367" s="21">
        <v>46860</v>
      </c>
      <c r="AA367" t="s">
        <v>88</v>
      </c>
      <c r="BI367" t="s">
        <v>96</v>
      </c>
    </row>
    <row r="368" spans="1:61" x14ac:dyDescent="0.2">
      <c r="E368" t="s">
        <v>90</v>
      </c>
      <c r="J368" t="s">
        <v>87</v>
      </c>
      <c r="K368" s="21">
        <v>46928</v>
      </c>
      <c r="L368" s="21">
        <v>46943</v>
      </c>
      <c r="AA368" t="s">
        <v>88</v>
      </c>
      <c r="BI368" t="s">
        <v>90</v>
      </c>
    </row>
    <row r="369" spans="1:61" x14ac:dyDescent="0.2">
      <c r="E369" t="s">
        <v>91</v>
      </c>
      <c r="J369" t="s">
        <v>87</v>
      </c>
      <c r="K369" s="21">
        <v>47012</v>
      </c>
      <c r="L369" s="21">
        <v>47028</v>
      </c>
      <c r="AA369" t="s">
        <v>88</v>
      </c>
      <c r="BI369" t="s">
        <v>91</v>
      </c>
    </row>
    <row r="370" spans="1:61" x14ac:dyDescent="0.2">
      <c r="E370" t="s">
        <v>92</v>
      </c>
      <c r="J370" t="s">
        <v>87</v>
      </c>
      <c r="K370" s="21">
        <v>47096</v>
      </c>
      <c r="L370" s="21">
        <v>47139</v>
      </c>
      <c r="AA370" t="s">
        <v>88</v>
      </c>
      <c r="BI370" t="s">
        <v>92</v>
      </c>
    </row>
    <row r="371" spans="1:61" x14ac:dyDescent="0.2">
      <c r="E371" t="s">
        <v>97</v>
      </c>
      <c r="J371" t="s">
        <v>87</v>
      </c>
      <c r="K371" s="21">
        <v>47207</v>
      </c>
      <c r="L371" s="21">
        <v>47210</v>
      </c>
      <c r="AA371" t="s">
        <v>88</v>
      </c>
      <c r="BI371" t="s">
        <v>97</v>
      </c>
    </row>
    <row r="372" spans="1:61" x14ac:dyDescent="0.2">
      <c r="E372" t="s">
        <v>86</v>
      </c>
      <c r="J372" t="s">
        <v>87</v>
      </c>
      <c r="K372" s="21">
        <v>47207</v>
      </c>
      <c r="L372" s="21">
        <v>47223</v>
      </c>
      <c r="AA372" t="s">
        <v>88</v>
      </c>
      <c r="BI372" t="s">
        <v>86</v>
      </c>
    </row>
    <row r="373" spans="1:61" x14ac:dyDescent="0.2">
      <c r="E373" t="s">
        <v>90</v>
      </c>
      <c r="J373" t="s">
        <v>87</v>
      </c>
      <c r="K373" s="21">
        <v>47292</v>
      </c>
      <c r="L373" s="21">
        <v>47307</v>
      </c>
      <c r="AA373" t="s">
        <v>88</v>
      </c>
      <c r="BI373" t="s">
        <v>90</v>
      </c>
    </row>
    <row r="374" spans="1:61" x14ac:dyDescent="0.2">
      <c r="E374" t="s">
        <v>91</v>
      </c>
      <c r="J374" t="s">
        <v>87</v>
      </c>
      <c r="K374" s="21">
        <v>47376</v>
      </c>
      <c r="L374" s="21">
        <v>47392</v>
      </c>
      <c r="AA374" t="s">
        <v>88</v>
      </c>
      <c r="BI374" t="s">
        <v>91</v>
      </c>
    </row>
    <row r="375" spans="1:61" x14ac:dyDescent="0.2">
      <c r="E375" t="s">
        <v>92</v>
      </c>
      <c r="J375" t="s">
        <v>87</v>
      </c>
      <c r="K375" s="21">
        <v>47460</v>
      </c>
      <c r="L375" s="21">
        <v>47483</v>
      </c>
      <c r="AA375" t="s">
        <v>88</v>
      </c>
      <c r="BI375" t="s">
        <v>92</v>
      </c>
    </row>
    <row r="376" spans="1:61" x14ac:dyDescent="0.2">
      <c r="A376">
        <v>0</v>
      </c>
      <c r="B376">
        <v>872</v>
      </c>
      <c r="D376" t="s">
        <v>348</v>
      </c>
      <c r="E376" t="s">
        <v>958</v>
      </c>
      <c r="F376" t="s">
        <v>959</v>
      </c>
      <c r="G376" t="s">
        <v>378</v>
      </c>
      <c r="J376" t="s">
        <v>87</v>
      </c>
      <c r="K376" s="21">
        <v>191708</v>
      </c>
      <c r="L376" s="21">
        <v>191708</v>
      </c>
      <c r="P376" t="s">
        <v>379</v>
      </c>
      <c r="Q376" t="s">
        <v>379</v>
      </c>
      <c r="T376">
        <v>3795</v>
      </c>
      <c r="U376" t="s">
        <v>381</v>
      </c>
      <c r="AA376" t="s">
        <v>5</v>
      </c>
      <c r="AC376">
        <v>872</v>
      </c>
      <c r="AD376">
        <v>46221</v>
      </c>
      <c r="AE376">
        <v>46161</v>
      </c>
      <c r="AF376">
        <v>102</v>
      </c>
      <c r="AG376">
        <v>102</v>
      </c>
      <c r="AH376" t="s">
        <v>519</v>
      </c>
      <c r="AI376" t="b">
        <v>0</v>
      </c>
      <c r="AJ376" t="s">
        <v>960</v>
      </c>
      <c r="AK376" t="s">
        <v>384</v>
      </c>
      <c r="AL376" t="s">
        <v>385</v>
      </c>
      <c r="AM376" t="s">
        <v>385</v>
      </c>
      <c r="AN376" t="s">
        <v>384</v>
      </c>
      <c r="AO376" t="s">
        <v>384</v>
      </c>
      <c r="AP376" t="s">
        <v>384</v>
      </c>
      <c r="AQ376" t="s">
        <v>384</v>
      </c>
      <c r="AR376" t="s">
        <v>384</v>
      </c>
      <c r="AS376" t="s">
        <v>384</v>
      </c>
      <c r="AT376" t="s">
        <v>384</v>
      </c>
      <c r="AU376" t="s">
        <v>384</v>
      </c>
      <c r="AV376" t="s">
        <v>384</v>
      </c>
      <c r="AW376" t="s">
        <v>384</v>
      </c>
      <c r="AX376" t="s">
        <v>385</v>
      </c>
      <c r="AY376" t="s">
        <v>384</v>
      </c>
      <c r="AZ376" t="s">
        <v>384</v>
      </c>
      <c r="BA376" t="s">
        <v>385</v>
      </c>
      <c r="BB376" t="s">
        <v>384</v>
      </c>
      <c r="BC376" t="s">
        <v>384</v>
      </c>
      <c r="BD376" t="s">
        <v>384</v>
      </c>
      <c r="BI376" t="s">
        <v>958</v>
      </c>
    </row>
  </sheetData>
  <phoneticPr fontId="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05D05-28F0-45BA-96AA-708F3BA4F5B1}">
  <sheetPr codeName="Sheet3">
    <tabColor rgb="FFFF0000"/>
  </sheetPr>
  <dimension ref="A1:AM299"/>
  <sheetViews>
    <sheetView workbookViewId="0">
      <pane ySplit="2" topLeftCell="A3" activePane="bottomLeft" state="frozen"/>
      <selection sqref="A1:XFD1"/>
      <selection pane="bottomLeft" sqref="A1:XFD1"/>
    </sheetView>
  </sheetViews>
  <sheetFormatPr baseColWidth="10" defaultColWidth="9.1640625" defaultRowHeight="15" x14ac:dyDescent="0.2"/>
  <cols>
    <col min="1" max="1" width="21" style="1" bestFit="1" customWidth="1"/>
    <col min="2" max="2" width="5.1640625" style="1" bestFit="1" customWidth="1"/>
    <col min="3" max="4" width="25.5" style="1" bestFit="1" customWidth="1"/>
    <col min="5" max="6" width="80.5" style="1" bestFit="1" customWidth="1"/>
    <col min="7" max="7" width="9.5" style="1" bestFit="1" customWidth="1"/>
    <col min="8" max="8" width="19" style="1" bestFit="1" customWidth="1"/>
    <col min="9" max="9" width="37" style="1" bestFit="1" customWidth="1"/>
    <col min="10" max="10" width="12.1640625" style="1" bestFit="1" customWidth="1"/>
    <col min="11" max="11" width="11" style="1" bestFit="1" customWidth="1"/>
    <col min="12" max="12" width="10.5" style="1" bestFit="1" customWidth="1"/>
    <col min="13" max="13" width="14.83203125" style="1" bestFit="1" customWidth="1"/>
    <col min="14" max="14" width="19.5" style="1" bestFit="1" customWidth="1"/>
    <col min="15" max="15" width="8.1640625" style="1" bestFit="1" customWidth="1"/>
    <col min="16" max="16" width="18" style="1" bestFit="1" customWidth="1"/>
    <col min="17" max="17" width="22.5" style="1" bestFit="1" customWidth="1"/>
    <col min="18" max="18" width="10.5" style="1" bestFit="1" customWidth="1"/>
    <col min="19" max="19" width="80.5" style="1" bestFit="1" customWidth="1"/>
    <col min="20" max="20" width="12.1640625" style="1" bestFit="1" customWidth="1"/>
    <col min="21" max="21" width="74.5" style="1" bestFit="1" customWidth="1"/>
    <col min="22" max="22" width="16.5" style="1" bestFit="1" customWidth="1"/>
    <col min="23" max="23" width="18.5" style="1" bestFit="1" customWidth="1"/>
    <col min="24" max="24" width="20" style="1" bestFit="1" customWidth="1"/>
    <col min="25" max="25" width="9.5" style="1" bestFit="1" customWidth="1"/>
    <col min="26" max="26" width="13" style="1" bestFit="1" customWidth="1"/>
    <col min="27" max="27" width="18.1640625" style="1" bestFit="1" customWidth="1"/>
    <col min="28" max="28" width="11.5" style="1" bestFit="1" customWidth="1"/>
    <col min="29" max="29" width="6.83203125" style="1" bestFit="1" customWidth="1"/>
    <col min="30" max="30" width="10.83203125" style="1" bestFit="1" customWidth="1"/>
    <col min="31" max="31" width="9.83203125" style="1" bestFit="1" customWidth="1"/>
    <col min="32" max="32" width="10.5" style="1" bestFit="1" customWidth="1"/>
    <col min="33" max="33" width="9.83203125" style="1" bestFit="1" customWidth="1"/>
    <col min="34" max="34" width="22.5" style="1" bestFit="1" customWidth="1"/>
    <col min="35" max="35" width="13.5" style="1" bestFit="1" customWidth="1"/>
    <col min="36" max="36" width="35.5" style="1" bestFit="1" customWidth="1"/>
    <col min="37" max="37" width="80.5" style="1" bestFit="1" customWidth="1"/>
    <col min="38" max="38" width="9.1640625" style="1"/>
    <col min="39" max="39" width="155.5" style="1" bestFit="1" customWidth="1"/>
    <col min="40" max="40" width="56" style="1" customWidth="1"/>
    <col min="41" max="16384" width="9.1640625" style="1"/>
  </cols>
  <sheetData>
    <row r="1" spans="1:39" s="38" customFormat="1" ht="24" x14ac:dyDescent="0.3">
      <c r="A1" s="38" t="s">
        <v>961</v>
      </c>
    </row>
    <row r="2" spans="1:39" x14ac:dyDescent="0.2">
      <c r="A2" s="1" t="s">
        <v>47</v>
      </c>
      <c r="B2" s="1" t="s">
        <v>48</v>
      </c>
      <c r="C2" s="1" t="s">
        <v>49</v>
      </c>
      <c r="D2" s="1" t="s">
        <v>50</v>
      </c>
      <c r="E2" s="1" t="s">
        <v>51</v>
      </c>
      <c r="F2" s="1"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75</v>
      </c>
      <c r="AD2" s="1" t="s">
        <v>76</v>
      </c>
      <c r="AE2" s="1" t="s">
        <v>77</v>
      </c>
      <c r="AF2" s="1" t="s">
        <v>78</v>
      </c>
      <c r="AG2" s="1" t="s">
        <v>79</v>
      </c>
      <c r="AH2" s="1" t="s">
        <v>80</v>
      </c>
      <c r="AI2" s="1" t="s">
        <v>81</v>
      </c>
      <c r="AJ2" s="1" t="s">
        <v>82</v>
      </c>
      <c r="AK2" s="33" t="s">
        <v>83</v>
      </c>
      <c r="AM2" s="1" t="s">
        <v>83</v>
      </c>
    </row>
    <row r="3" spans="1:39" x14ac:dyDescent="0.2">
      <c r="A3" s="1">
        <v>0</v>
      </c>
      <c r="B3" s="1">
        <v>1069</v>
      </c>
      <c r="D3" s="1" t="s">
        <v>348</v>
      </c>
      <c r="E3" s="1" t="s">
        <v>392</v>
      </c>
      <c r="F3" s="1" t="s">
        <v>393</v>
      </c>
      <c r="G3" s="1" t="s">
        <v>378</v>
      </c>
      <c r="J3" s="1" t="s">
        <v>87</v>
      </c>
      <c r="K3" s="31">
        <v>46023</v>
      </c>
      <c r="L3" s="31">
        <v>46023</v>
      </c>
      <c r="P3" s="1" t="s">
        <v>379</v>
      </c>
      <c r="Q3" s="1" t="s">
        <v>379</v>
      </c>
      <c r="S3" s="1" t="s">
        <v>380</v>
      </c>
      <c r="T3" s="1">
        <v>7489</v>
      </c>
      <c r="U3" s="1" t="s">
        <v>381</v>
      </c>
      <c r="AA3" s="1" t="s">
        <v>5</v>
      </c>
      <c r="AC3" s="1">
        <v>1069</v>
      </c>
      <c r="AD3" s="31">
        <v>46221</v>
      </c>
      <c r="AE3" s="31">
        <v>46161</v>
      </c>
      <c r="AF3" s="1">
        <v>102</v>
      </c>
      <c r="AG3" s="1">
        <v>102</v>
      </c>
      <c r="AH3" s="1" t="s">
        <v>382</v>
      </c>
      <c r="AI3" s="1" t="b">
        <v>0</v>
      </c>
      <c r="AJ3" s="1" t="s">
        <v>394</v>
      </c>
      <c r="AK3" s="1" t="str">
        <f>IF(ISBLANK(SharePointTasks[[#This Row],[Operational ActionId]]), SharePointTasks[[#This Row],[Title]], SharePointTasks[[#This Row],[Title]] &amp; " (" &amp; VLOOKUP(SharePointTasks[[#This Row],[Operational ActionId]], Operational_Actions[], 6, FALSE) &amp; ")")</f>
        <v>Scouting Management - Group Leaders (Brisbane)</v>
      </c>
      <c r="AM3" s="1" t="str" cm="1">
        <f t="array" ref="AM3:AM299">IF(ISBLANK(SharePointTasks[Operational ActionId])=TRUE,SharePointTasks[Title],(SharePointTasks[Title]&amp;" ("&amp;(VLOOKUP(SharePointTasks[Operational ActionId],'YPT Operational Actions'!1:1048576,6,FALSE))&amp;")"))</f>
        <v>Scouting Management - Group Leaders (Brisbane)</v>
      </c>
    </row>
    <row r="4" spans="1:39" x14ac:dyDescent="0.2">
      <c r="A4" s="1">
        <v>0</v>
      </c>
      <c r="B4" s="1">
        <v>1070</v>
      </c>
      <c r="D4" s="1" t="s">
        <v>348</v>
      </c>
      <c r="E4" s="1" t="s">
        <v>389</v>
      </c>
      <c r="F4" s="1" t="s">
        <v>390</v>
      </c>
      <c r="G4" s="1" t="s">
        <v>378</v>
      </c>
      <c r="J4" s="1" t="s">
        <v>87</v>
      </c>
      <c r="K4" s="31">
        <v>46023</v>
      </c>
      <c r="L4" s="31">
        <v>46023</v>
      </c>
      <c r="P4" s="1" t="s">
        <v>379</v>
      </c>
      <c r="Q4" s="1" t="s">
        <v>379</v>
      </c>
      <c r="S4" s="1" t="s">
        <v>380</v>
      </c>
      <c r="T4" s="1">
        <v>7490</v>
      </c>
      <c r="U4" s="1" t="s">
        <v>381</v>
      </c>
      <c r="AA4" s="1" t="s">
        <v>5</v>
      </c>
      <c r="AC4" s="1">
        <v>1070</v>
      </c>
      <c r="AD4" s="31">
        <v>46221</v>
      </c>
      <c r="AE4" s="31">
        <v>46161</v>
      </c>
      <c r="AF4" s="1">
        <v>102</v>
      </c>
      <c r="AG4" s="1">
        <v>102</v>
      </c>
      <c r="AH4" s="1" t="s">
        <v>382</v>
      </c>
      <c r="AI4" s="1" t="b">
        <v>0</v>
      </c>
      <c r="AJ4" s="1" t="s">
        <v>391</v>
      </c>
      <c r="AK4" s="1" t="str">
        <f>IF(ISBLANK(SharePointTasks[[#This Row],[Operational ActionId]]), SharePointTasks[[#This Row],[Title]], SharePointTasks[[#This Row],[Title]] &amp; " (" &amp; VLOOKUP(SharePointTasks[[#This Row],[Operational ActionId]], Operational_Actions[], 6, FALSE) &amp; ")")</f>
        <v>Scouting Essentials (Brisbane)</v>
      </c>
      <c r="AM4" s="1" t="str">
        <v>Scouting Essentials (Brisbane)</v>
      </c>
    </row>
    <row r="5" spans="1:39" x14ac:dyDescent="0.2">
      <c r="A5" s="1">
        <v>0</v>
      </c>
      <c r="B5" s="1">
        <v>1071</v>
      </c>
      <c r="D5" s="1" t="s">
        <v>348</v>
      </c>
      <c r="E5" s="1" t="s">
        <v>386</v>
      </c>
      <c r="F5" s="1" t="s">
        <v>387</v>
      </c>
      <c r="G5" s="1" t="s">
        <v>378</v>
      </c>
      <c r="J5" s="1" t="s">
        <v>87</v>
      </c>
      <c r="K5" s="31">
        <v>46023</v>
      </c>
      <c r="L5" s="31">
        <v>46023</v>
      </c>
      <c r="P5" s="1" t="s">
        <v>379</v>
      </c>
      <c r="Q5" s="1" t="s">
        <v>379</v>
      </c>
      <c r="T5" s="1">
        <v>7491</v>
      </c>
      <c r="U5" s="1" t="s">
        <v>381</v>
      </c>
      <c r="AA5" s="1" t="s">
        <v>5</v>
      </c>
      <c r="AC5" s="1">
        <v>1071</v>
      </c>
      <c r="AD5" s="31">
        <v>46221</v>
      </c>
      <c r="AE5" s="31">
        <v>46161</v>
      </c>
      <c r="AF5" s="1">
        <v>102</v>
      </c>
      <c r="AG5" s="1">
        <v>102</v>
      </c>
      <c r="AH5" s="1" t="s">
        <v>382</v>
      </c>
      <c r="AI5" s="1" t="b">
        <v>0</v>
      </c>
      <c r="AJ5" s="1" t="s">
        <v>388</v>
      </c>
      <c r="AK5" s="1" t="str">
        <f>IF(ISBLANK(SharePointTasks[[#This Row],[Operational ActionId]]), SharePointTasks[[#This Row],[Title]], SharePointTasks[[#This Row],[Title]] &amp; " (" &amp; VLOOKUP(SharePointTasks[[#This Row],[Operational ActionId]], Operational_Actions[], 6, FALSE) &amp; ")")</f>
        <v>Basic Water Rescue (FNQ)</v>
      </c>
      <c r="AM5" s="1" t="str">
        <v>Basic Water Rescue (FNQ)</v>
      </c>
    </row>
    <row r="6" spans="1:39" x14ac:dyDescent="0.2">
      <c r="A6" s="1">
        <v>0</v>
      </c>
      <c r="B6" s="1">
        <v>1072</v>
      </c>
      <c r="D6" s="1" t="s">
        <v>348</v>
      </c>
      <c r="E6" s="1" t="s">
        <v>376</v>
      </c>
      <c r="F6" s="1" t="s">
        <v>377</v>
      </c>
      <c r="G6" s="1" t="s">
        <v>378</v>
      </c>
      <c r="J6" s="1" t="s">
        <v>87</v>
      </c>
      <c r="K6" s="31">
        <v>46023</v>
      </c>
      <c r="L6" s="31">
        <v>46023</v>
      </c>
      <c r="P6" s="1" t="s">
        <v>379</v>
      </c>
      <c r="Q6" s="1" t="s">
        <v>379</v>
      </c>
      <c r="S6" s="1" t="s">
        <v>380</v>
      </c>
      <c r="T6" s="1">
        <v>7492</v>
      </c>
      <c r="U6" s="1" t="s">
        <v>381</v>
      </c>
      <c r="AA6" s="1" t="s">
        <v>5</v>
      </c>
      <c r="AC6" s="1">
        <v>1072</v>
      </c>
      <c r="AD6" s="31">
        <v>46221</v>
      </c>
      <c r="AE6" s="31">
        <v>46161</v>
      </c>
      <c r="AF6" s="1">
        <v>102</v>
      </c>
      <c r="AG6" s="1">
        <v>102</v>
      </c>
      <c r="AH6" s="1" t="s">
        <v>382</v>
      </c>
      <c r="AI6" s="1" t="b">
        <v>0</v>
      </c>
      <c r="AJ6" s="1" t="s">
        <v>383</v>
      </c>
      <c r="AK6" s="1" t="str">
        <f>IF(ISBLANK(SharePointTasks[[#This Row],[Operational ActionId]]), SharePointTasks[[#This Row],[Title]], SharePointTasks[[#This Row],[Title]] &amp; " (" &amp; VLOOKUP(SharePointTasks[[#This Row],[Operational ActionId]], Operational_Actions[], 6, FALSE) &amp; ")")</f>
        <v>Vertical - Abseiling Natural SP (Wide Bay)</v>
      </c>
      <c r="AM6" s="1" t="str">
        <v>Vertical - Abseiling Natural SP (Wide Bay)</v>
      </c>
    </row>
    <row r="7" spans="1:39" x14ac:dyDescent="0.2">
      <c r="A7" s="1">
        <v>0</v>
      </c>
      <c r="B7" s="1">
        <v>1015</v>
      </c>
      <c r="D7" s="1" t="s">
        <v>348</v>
      </c>
      <c r="E7" s="1" t="s">
        <v>398</v>
      </c>
      <c r="F7" s="1" t="s">
        <v>399</v>
      </c>
      <c r="G7" s="1" t="s">
        <v>378</v>
      </c>
      <c r="J7" s="1" t="s">
        <v>87</v>
      </c>
      <c r="K7" s="31">
        <v>46024</v>
      </c>
      <c r="L7" s="31">
        <v>46024</v>
      </c>
      <c r="P7" s="1" t="s">
        <v>379</v>
      </c>
      <c r="Q7" s="1" t="s">
        <v>379</v>
      </c>
      <c r="S7" s="1" t="s">
        <v>380</v>
      </c>
      <c r="T7" s="1">
        <v>7162</v>
      </c>
      <c r="U7" s="1" t="s">
        <v>381</v>
      </c>
      <c r="AA7" s="1" t="s">
        <v>5</v>
      </c>
      <c r="AC7" s="1">
        <v>1015</v>
      </c>
      <c r="AD7" s="31">
        <v>46221</v>
      </c>
      <c r="AE7" s="31">
        <v>46161</v>
      </c>
      <c r="AF7" s="1">
        <v>102</v>
      </c>
      <c r="AG7" s="1">
        <v>102</v>
      </c>
      <c r="AH7" s="1" t="s">
        <v>382</v>
      </c>
      <c r="AI7" s="1" t="b">
        <v>0</v>
      </c>
      <c r="AJ7" s="1" t="s">
        <v>400</v>
      </c>
      <c r="AK7" s="1" t="str">
        <f>IF(ISBLANK(SharePointTasks[[#This Row],[Operational ActionId]]), SharePointTasks[[#This Row],[Title]], SharePointTasks[[#This Row],[Title]] &amp; " (" &amp; VLOOKUP(SharePointTasks[[#This Row],[Operational ActionId]], Operational_Actions[], 6, FALSE) &amp; ")")</f>
        <v>Paddling - SUP Inland Flatwater SP</v>
      </c>
      <c r="AM7" s="1" t="str">
        <v>Paddling - SUP Inland Flatwater SP</v>
      </c>
    </row>
    <row r="8" spans="1:39" x14ac:dyDescent="0.2">
      <c r="A8" s="1">
        <v>0</v>
      </c>
      <c r="B8" s="1">
        <v>1020</v>
      </c>
      <c r="D8" s="1" t="s">
        <v>348</v>
      </c>
      <c r="E8" s="1" t="s">
        <v>395</v>
      </c>
      <c r="F8" s="1" t="s">
        <v>396</v>
      </c>
      <c r="G8" s="1" t="s">
        <v>378</v>
      </c>
      <c r="J8" s="1" t="s">
        <v>87</v>
      </c>
      <c r="K8" s="31">
        <v>46024</v>
      </c>
      <c r="L8" s="31">
        <v>46024</v>
      </c>
      <c r="P8" s="1" t="s">
        <v>379</v>
      </c>
      <c r="Q8" s="1" t="s">
        <v>379</v>
      </c>
      <c r="S8" s="1" t="s">
        <v>380</v>
      </c>
      <c r="T8" s="1">
        <v>7192</v>
      </c>
      <c r="U8" s="1" t="s">
        <v>381</v>
      </c>
      <c r="AA8" s="1" t="s">
        <v>5</v>
      </c>
      <c r="AC8" s="1">
        <v>1020</v>
      </c>
      <c r="AD8" s="31">
        <v>46221</v>
      </c>
      <c r="AE8" s="31">
        <v>46161</v>
      </c>
      <c r="AF8" s="1">
        <v>102</v>
      </c>
      <c r="AG8" s="1">
        <v>102</v>
      </c>
      <c r="AH8" s="1" t="s">
        <v>382</v>
      </c>
      <c r="AI8" s="1" t="b">
        <v>0</v>
      </c>
      <c r="AJ8" s="1" t="s">
        <v>397</v>
      </c>
      <c r="AK8" s="1" t="str">
        <f>IF(ISBLANK(SharePointTasks[[#This Row],[Operational ActionId]]), SharePointTasks[[#This Row],[Title]], SharePointTasks[[#This Row],[Title]] &amp; " (" &amp; VLOOKUP(SharePointTasks[[#This Row],[Operational ActionId]], Operational_Actions[], 6, FALSE) &amp; ")")</f>
        <v>Paddling - Kayak Inland Flatwater TP (Wide Bay)</v>
      </c>
      <c r="AM8" s="1" t="str">
        <v>Paddling - Kayak Inland Flatwater TP (Wide Bay)</v>
      </c>
    </row>
    <row r="9" spans="1:39" x14ac:dyDescent="0.2">
      <c r="A9" s="1">
        <v>0</v>
      </c>
      <c r="B9" s="1">
        <v>1024</v>
      </c>
      <c r="D9" s="1" t="s">
        <v>348</v>
      </c>
      <c r="E9" s="1" t="s">
        <v>401</v>
      </c>
      <c r="F9" s="1" t="s">
        <v>402</v>
      </c>
      <c r="G9" s="1" t="s">
        <v>378</v>
      </c>
      <c r="J9" s="1" t="s">
        <v>87</v>
      </c>
      <c r="K9" s="31">
        <v>46029</v>
      </c>
      <c r="L9" s="31">
        <v>46029</v>
      </c>
      <c r="P9" s="1" t="s">
        <v>379</v>
      </c>
      <c r="Q9" s="1" t="s">
        <v>379</v>
      </c>
      <c r="S9" s="1" t="s">
        <v>380</v>
      </c>
      <c r="T9" s="1">
        <v>7237</v>
      </c>
      <c r="U9" s="1" t="s">
        <v>381</v>
      </c>
      <c r="AA9" s="1" t="s">
        <v>5</v>
      </c>
      <c r="AC9" s="1">
        <v>1024</v>
      </c>
      <c r="AD9" s="31">
        <v>46221</v>
      </c>
      <c r="AE9" s="31">
        <v>46161</v>
      </c>
      <c r="AF9" s="1">
        <v>102</v>
      </c>
      <c r="AG9" s="1">
        <v>102</v>
      </c>
      <c r="AH9" s="1" t="s">
        <v>382</v>
      </c>
      <c r="AI9" s="1" t="b">
        <v>0</v>
      </c>
      <c r="AJ9" s="1" t="s">
        <v>403</v>
      </c>
      <c r="AK9" s="1" t="str">
        <f>IF(ISBLANK(SharePointTasks[[#This Row],[Operational ActionId]]), SharePointTasks[[#This Row],[Title]], SharePointTasks[[#This Row],[Title]] &amp; " (" &amp; VLOOKUP(SharePointTasks[[#This Row],[Operational ActionId]], Operational_Actions[], 6, FALSE) &amp; ")")</f>
        <v>Cycling - On Road - SP/TP (Wide Bay)</v>
      </c>
      <c r="AM9" s="1" t="str">
        <v>Cycling - On Road - SP/TP (Wide Bay)</v>
      </c>
    </row>
    <row r="10" spans="1:39" x14ac:dyDescent="0.2">
      <c r="A10" s="1">
        <v>0</v>
      </c>
      <c r="B10" s="1">
        <v>1047</v>
      </c>
      <c r="D10" s="1" t="s">
        <v>348</v>
      </c>
      <c r="E10" s="1" t="s">
        <v>401</v>
      </c>
      <c r="F10" s="1" t="s">
        <v>402</v>
      </c>
      <c r="G10" s="1" t="s">
        <v>378</v>
      </c>
      <c r="J10" s="1" t="s">
        <v>87</v>
      </c>
      <c r="K10" s="31">
        <v>46029</v>
      </c>
      <c r="L10" s="31">
        <v>46029</v>
      </c>
      <c r="P10" s="1" t="s">
        <v>379</v>
      </c>
      <c r="Q10" s="1" t="s">
        <v>379</v>
      </c>
      <c r="S10" s="1" t="s">
        <v>380</v>
      </c>
      <c r="T10" s="1">
        <v>7385</v>
      </c>
      <c r="U10" s="1" t="s">
        <v>381</v>
      </c>
      <c r="AA10" s="1" t="s">
        <v>5</v>
      </c>
      <c r="AC10" s="1">
        <v>1047</v>
      </c>
      <c r="AD10" s="31">
        <v>46221</v>
      </c>
      <c r="AE10" s="31">
        <v>46161</v>
      </c>
      <c r="AF10" s="1">
        <v>102</v>
      </c>
      <c r="AG10" s="1">
        <v>102</v>
      </c>
      <c r="AH10" s="1" t="s">
        <v>382</v>
      </c>
      <c r="AI10" s="1" t="b">
        <v>0</v>
      </c>
      <c r="AJ10" s="1" t="s">
        <v>404</v>
      </c>
      <c r="AK10" s="1" t="str">
        <f>IF(ISBLANK(SharePointTasks[[#This Row],[Operational ActionId]]), SharePointTasks[[#This Row],[Title]], SharePointTasks[[#This Row],[Title]] &amp; " (" &amp; VLOOKUP(SharePointTasks[[#This Row],[Operational ActionId]], Operational_Actions[], 6, FALSE) &amp; ")")</f>
        <v>Cycling - On Road - SP/TP (Wide Bay)</v>
      </c>
      <c r="AM10" s="1" t="str">
        <v>Cycling - On Road - SP/TP (Wide Bay)</v>
      </c>
    </row>
    <row r="11" spans="1:39" x14ac:dyDescent="0.2">
      <c r="A11" s="1">
        <v>0</v>
      </c>
      <c r="B11" s="1">
        <v>991</v>
      </c>
      <c r="D11" s="1" t="s">
        <v>348</v>
      </c>
      <c r="E11" s="1" t="s">
        <v>405</v>
      </c>
      <c r="F11" s="1" t="s">
        <v>406</v>
      </c>
      <c r="G11" s="1" t="s">
        <v>378</v>
      </c>
      <c r="J11" s="1" t="s">
        <v>87</v>
      </c>
      <c r="K11" s="31">
        <v>46039</v>
      </c>
      <c r="L11" s="31">
        <v>46039</v>
      </c>
      <c r="P11" s="1" t="s">
        <v>379</v>
      </c>
      <c r="Q11" s="1" t="s">
        <v>379</v>
      </c>
      <c r="S11" s="1" t="s">
        <v>407</v>
      </c>
      <c r="T11" s="1">
        <v>5781</v>
      </c>
      <c r="U11" s="1" t="s">
        <v>381</v>
      </c>
      <c r="AA11" s="1" t="s">
        <v>5</v>
      </c>
      <c r="AC11" s="1">
        <v>991</v>
      </c>
      <c r="AD11" s="31">
        <v>46221</v>
      </c>
      <c r="AE11" s="31">
        <v>46161</v>
      </c>
      <c r="AF11" s="1">
        <v>102</v>
      </c>
      <c r="AG11" s="1">
        <v>102</v>
      </c>
      <c r="AH11" s="1" t="s">
        <v>382</v>
      </c>
      <c r="AI11" s="1" t="b">
        <v>0</v>
      </c>
      <c r="AJ11" s="1" t="s">
        <v>408</v>
      </c>
      <c r="AK11" s="1" t="str">
        <f>IF(ISBLANK(SharePointTasks[[#This Row],[Operational ActionId]]), SharePointTasks[[#This Row],[Title]], SharePointTasks[[#This Row],[Title]] &amp; " (" &amp; VLOOKUP(SharePointTasks[[#This Row],[Operational ActionId]], Operational_Actions[], 6, FALSE) &amp; ")")</f>
        <v>Queensland Branch Rover Council Meeting</v>
      </c>
      <c r="AM11" s="1" t="str">
        <v>Queensland Branch Rover Council Meeting</v>
      </c>
    </row>
    <row r="12" spans="1:39" x14ac:dyDescent="0.2">
      <c r="A12" s="1">
        <v>0</v>
      </c>
      <c r="B12" s="1">
        <v>950</v>
      </c>
      <c r="D12" s="1" t="s">
        <v>348</v>
      </c>
      <c r="E12" s="1" t="s">
        <v>409</v>
      </c>
      <c r="F12" s="1" t="s">
        <v>410</v>
      </c>
      <c r="G12" s="1" t="s">
        <v>378</v>
      </c>
      <c r="J12" s="1" t="s">
        <v>87</v>
      </c>
      <c r="K12" s="31">
        <v>46040</v>
      </c>
      <c r="L12" s="31">
        <v>46040</v>
      </c>
      <c r="P12" s="1" t="s">
        <v>379</v>
      </c>
      <c r="Q12" s="1" t="s">
        <v>379</v>
      </c>
      <c r="T12" s="1">
        <v>5740</v>
      </c>
      <c r="U12" s="1" t="s">
        <v>381</v>
      </c>
      <c r="AA12" s="1" t="s">
        <v>5</v>
      </c>
      <c r="AC12" s="1">
        <v>950</v>
      </c>
      <c r="AD12" s="31">
        <v>46221</v>
      </c>
      <c r="AE12" s="31">
        <v>46161</v>
      </c>
      <c r="AF12" s="1">
        <v>102</v>
      </c>
      <c r="AG12" s="1">
        <v>102</v>
      </c>
      <c r="AH12" s="1" t="s">
        <v>382</v>
      </c>
      <c r="AI12" s="1" t="b">
        <v>0</v>
      </c>
      <c r="AJ12" s="1" t="s">
        <v>411</v>
      </c>
      <c r="AK12" s="1" t="str">
        <f>IF(ISBLANK(SharePointTasks[[#This Row],[Operational ActionId]]), SharePointTasks[[#This Row],[Title]], SharePointTasks[[#This Row],[Title]] &amp; " (" &amp; VLOOKUP(SharePointTasks[[#This Row],[Operational ActionId]], Operational_Actions[], 6, FALSE) &amp; ")")</f>
        <v>Branch Finance Committee</v>
      </c>
      <c r="AM12" s="1" t="str">
        <v>Branch Finance Committee</v>
      </c>
    </row>
    <row r="13" spans="1:39" x14ac:dyDescent="0.2">
      <c r="A13" s="1">
        <v>0</v>
      </c>
      <c r="B13" s="1">
        <v>962</v>
      </c>
      <c r="D13" s="1" t="s">
        <v>348</v>
      </c>
      <c r="E13" s="1" t="s">
        <v>412</v>
      </c>
      <c r="G13" s="1" t="s">
        <v>378</v>
      </c>
      <c r="J13" s="1" t="s">
        <v>87</v>
      </c>
      <c r="K13" s="31">
        <v>46042</v>
      </c>
      <c r="L13" s="31">
        <v>46042</v>
      </c>
      <c r="P13" s="1" t="s">
        <v>379</v>
      </c>
      <c r="Q13" s="1" t="s">
        <v>379</v>
      </c>
      <c r="S13" s="1" t="s">
        <v>129</v>
      </c>
      <c r="T13" s="1">
        <v>5752</v>
      </c>
      <c r="U13" s="1" t="s">
        <v>381</v>
      </c>
      <c r="Z13" s="1" t="s">
        <v>413</v>
      </c>
      <c r="AA13" s="1" t="s">
        <v>5</v>
      </c>
      <c r="AC13" s="1">
        <v>962</v>
      </c>
      <c r="AD13" s="31">
        <v>46221</v>
      </c>
      <c r="AE13" s="31">
        <v>46161</v>
      </c>
      <c r="AF13" s="1">
        <v>102</v>
      </c>
      <c r="AG13" s="1">
        <v>102</v>
      </c>
      <c r="AH13" s="1" t="s">
        <v>414</v>
      </c>
      <c r="AI13" s="1" t="b">
        <v>0</v>
      </c>
      <c r="AJ13" s="1" t="s">
        <v>415</v>
      </c>
      <c r="AK13" s="1" t="str">
        <f>IF(ISBLANK(SharePointTasks[[#This Row],[Operational ActionId]]), SharePointTasks[[#This Row],[Title]], SharePointTasks[[#This Row],[Title]] &amp; " (" &amp; VLOOKUP(SharePointTasks[[#This Row],[Operational ActionId]], Operational_Actions[], 6, FALSE) &amp; ")")</f>
        <v>Branch Joey Scout Council</v>
      </c>
      <c r="AM13" s="1" t="str">
        <v>Branch Joey Scout Council</v>
      </c>
    </row>
    <row r="14" spans="1:39" x14ac:dyDescent="0.2">
      <c r="A14" s="1">
        <v>0</v>
      </c>
      <c r="B14" s="1">
        <v>913</v>
      </c>
      <c r="D14" s="1" t="s">
        <v>348</v>
      </c>
      <c r="E14" s="1" t="s">
        <v>312</v>
      </c>
      <c r="F14" s="1" t="s">
        <v>416</v>
      </c>
      <c r="G14" s="1" t="s">
        <v>378</v>
      </c>
      <c r="J14" s="1" t="s">
        <v>87</v>
      </c>
      <c r="K14" s="31">
        <v>46047</v>
      </c>
      <c r="L14" s="31">
        <v>46047</v>
      </c>
      <c r="P14" s="1" t="s">
        <v>379</v>
      </c>
      <c r="Q14" s="1" t="s">
        <v>379</v>
      </c>
      <c r="T14" s="1">
        <v>5702</v>
      </c>
      <c r="U14" s="1" t="s">
        <v>381</v>
      </c>
      <c r="AA14" s="1" t="s">
        <v>5</v>
      </c>
      <c r="AC14" s="1">
        <v>913</v>
      </c>
      <c r="AD14" s="31">
        <v>46221</v>
      </c>
      <c r="AE14" s="31">
        <v>46161</v>
      </c>
      <c r="AF14" s="1">
        <v>102</v>
      </c>
      <c r="AG14" s="1">
        <v>102</v>
      </c>
      <c r="AH14" s="1" t="s">
        <v>382</v>
      </c>
      <c r="AI14" s="1" t="b">
        <v>0</v>
      </c>
      <c r="AJ14" s="1" t="s">
        <v>417</v>
      </c>
      <c r="AK14" s="1" t="str">
        <f>IF(ISBLANK(SharePointTasks[[#This Row],[Operational ActionId]]), SharePointTasks[[#This Row],[Title]], SharePointTasks[[#This Row],[Title]] &amp; " (" &amp; VLOOKUP(SharePointTasks[[#This Row],[Operational ActionId]], Operational_Actions[], 6, FALSE) &amp; ")")</f>
        <v>Australia Day</v>
      </c>
      <c r="AM14" s="1" t="str">
        <v>Australia Day</v>
      </c>
    </row>
    <row r="15" spans="1:39" x14ac:dyDescent="0.2">
      <c r="A15" s="1">
        <v>0</v>
      </c>
      <c r="B15" s="1">
        <v>938</v>
      </c>
      <c r="D15" s="1" t="s">
        <v>348</v>
      </c>
      <c r="E15" s="1" t="s">
        <v>418</v>
      </c>
      <c r="F15" s="1" t="s">
        <v>419</v>
      </c>
      <c r="G15" s="1" t="s">
        <v>378</v>
      </c>
      <c r="J15" s="1" t="s">
        <v>87</v>
      </c>
      <c r="K15" s="31">
        <v>46048</v>
      </c>
      <c r="L15" s="31">
        <v>46048</v>
      </c>
      <c r="P15" s="1" t="s">
        <v>379</v>
      </c>
      <c r="Q15" s="1" t="s">
        <v>379</v>
      </c>
      <c r="T15" s="1">
        <v>5728</v>
      </c>
      <c r="U15" s="1" t="s">
        <v>381</v>
      </c>
      <c r="AA15" s="1" t="s">
        <v>5</v>
      </c>
      <c r="AC15" s="1">
        <v>938</v>
      </c>
      <c r="AD15" s="31">
        <v>46221</v>
      </c>
      <c r="AE15" s="31">
        <v>46161</v>
      </c>
      <c r="AF15" s="1">
        <v>102</v>
      </c>
      <c r="AG15" s="1">
        <v>102</v>
      </c>
      <c r="AH15" s="1" t="s">
        <v>382</v>
      </c>
      <c r="AI15" s="1" t="b">
        <v>0</v>
      </c>
      <c r="AJ15" s="1" t="s">
        <v>420</v>
      </c>
      <c r="AK15" s="1" t="str">
        <f>IF(ISBLANK(SharePointTasks[[#This Row],[Operational ActionId]]), SharePointTasks[[#This Row],[Title]], SharePointTasks[[#This Row],[Title]] &amp; " (" &amp; VLOOKUP(SharePointTasks[[#This Row],[Operational ActionId]], Operational_Actions[], 6, FALSE) &amp; ")")</f>
        <v>Branch Executive Committee</v>
      </c>
      <c r="AM15" s="1" t="str">
        <v>Branch Executive Committee</v>
      </c>
    </row>
    <row r="16" spans="1:39" x14ac:dyDescent="0.2">
      <c r="A16" s="1">
        <v>0</v>
      </c>
      <c r="B16" s="1">
        <v>1037</v>
      </c>
      <c r="D16" s="1" t="s">
        <v>348</v>
      </c>
      <c r="E16" s="1" t="s">
        <v>421</v>
      </c>
      <c r="F16" s="1" t="s">
        <v>422</v>
      </c>
      <c r="G16" s="1" t="s">
        <v>378</v>
      </c>
      <c r="J16" s="1" t="s">
        <v>87</v>
      </c>
      <c r="K16" s="31">
        <v>46057</v>
      </c>
      <c r="L16" s="31">
        <v>46057</v>
      </c>
      <c r="P16" s="1" t="s">
        <v>379</v>
      </c>
      <c r="Q16" s="1" t="s">
        <v>379</v>
      </c>
      <c r="S16" s="1" t="s">
        <v>380</v>
      </c>
      <c r="T16" s="1">
        <v>7367</v>
      </c>
      <c r="U16" s="1" t="s">
        <v>381</v>
      </c>
      <c r="AA16" s="1" t="s">
        <v>5</v>
      </c>
      <c r="AC16" s="1">
        <v>1037</v>
      </c>
      <c r="AD16" s="31">
        <v>46221</v>
      </c>
      <c r="AE16" s="31">
        <v>46161</v>
      </c>
      <c r="AF16" s="1">
        <v>102</v>
      </c>
      <c r="AG16" s="1">
        <v>102</v>
      </c>
      <c r="AH16" s="1" t="s">
        <v>382</v>
      </c>
      <c r="AI16" s="1" t="b">
        <v>0</v>
      </c>
      <c r="AJ16" s="1" t="s">
        <v>423</v>
      </c>
      <c r="AK16" s="1" t="str">
        <f>IF(ISBLANK(SharePointTasks[[#This Row],[Operational ActionId]]), SharePointTasks[[#This Row],[Title]], SharePointTasks[[#This Row],[Title]] &amp; " (" &amp; VLOOKUP(SharePointTasks[[#This Row],[Operational ActionId]], Operational_Actions[], 6, FALSE) &amp; ")")</f>
        <v>Cycling - Off Road - SP/TP (Brisbane)</v>
      </c>
      <c r="AM16" s="1" t="str">
        <v>Cycling - Off Road - SP/TP (Brisbane)</v>
      </c>
    </row>
    <row r="17" spans="1:39" x14ac:dyDescent="0.2">
      <c r="A17" s="1">
        <v>0</v>
      </c>
      <c r="B17" s="1">
        <v>1039</v>
      </c>
      <c r="D17" s="1" t="s">
        <v>348</v>
      </c>
      <c r="E17" s="1" t="s">
        <v>424</v>
      </c>
      <c r="F17" s="1" t="s">
        <v>425</v>
      </c>
      <c r="G17" s="1" t="s">
        <v>378</v>
      </c>
      <c r="J17" s="1" t="s">
        <v>87</v>
      </c>
      <c r="K17" s="31">
        <v>46058</v>
      </c>
      <c r="L17" s="31">
        <v>46058</v>
      </c>
      <c r="P17" s="1" t="s">
        <v>379</v>
      </c>
      <c r="Q17" s="1" t="s">
        <v>379</v>
      </c>
      <c r="S17" s="1" t="s">
        <v>380</v>
      </c>
      <c r="T17" s="1">
        <v>7373</v>
      </c>
      <c r="U17" s="1" t="s">
        <v>381</v>
      </c>
      <c r="AA17" s="1" t="s">
        <v>5</v>
      </c>
      <c r="AC17" s="1">
        <v>1039</v>
      </c>
      <c r="AD17" s="31">
        <v>46221</v>
      </c>
      <c r="AE17" s="31">
        <v>46161</v>
      </c>
      <c r="AF17" s="1">
        <v>102</v>
      </c>
      <c r="AG17" s="1">
        <v>102</v>
      </c>
      <c r="AH17" s="1" t="s">
        <v>382</v>
      </c>
      <c r="AI17" s="1" t="b">
        <v>0</v>
      </c>
      <c r="AJ17" s="1" t="s">
        <v>426</v>
      </c>
      <c r="AK17" s="1" t="str">
        <f>IF(ISBLANK(SharePointTasks[[#This Row],[Operational ActionId]]), SharePointTasks[[#This Row],[Title]], SharePointTasks[[#This Row],[Title]] &amp; " (" &amp; VLOOKUP(SharePointTasks[[#This Row],[Operational ActionId]], Operational_Actions[], 6, FALSE) &amp; ")")</f>
        <v>Scouting Leadership (Online)</v>
      </c>
      <c r="AM17" s="1" t="str">
        <v>Scouting Leadership (Online)</v>
      </c>
    </row>
    <row r="18" spans="1:39" x14ac:dyDescent="0.2">
      <c r="A18" s="1">
        <v>0</v>
      </c>
      <c r="B18" s="1">
        <v>1025</v>
      </c>
      <c r="D18" s="1" t="s">
        <v>348</v>
      </c>
      <c r="E18" s="1" t="s">
        <v>427</v>
      </c>
      <c r="F18" s="1" t="s">
        <v>428</v>
      </c>
      <c r="G18" s="1" t="s">
        <v>378</v>
      </c>
      <c r="J18" s="1" t="s">
        <v>87</v>
      </c>
      <c r="K18" s="31">
        <v>46060</v>
      </c>
      <c r="L18" s="31">
        <v>46060</v>
      </c>
      <c r="P18" s="1" t="s">
        <v>379</v>
      </c>
      <c r="Q18" s="1" t="s">
        <v>379</v>
      </c>
      <c r="T18" s="1">
        <v>7238</v>
      </c>
      <c r="U18" s="1" t="s">
        <v>381</v>
      </c>
      <c r="AA18" s="1" t="s">
        <v>5</v>
      </c>
      <c r="AC18" s="1">
        <v>1025</v>
      </c>
      <c r="AD18" s="31">
        <v>46221</v>
      </c>
      <c r="AE18" s="31">
        <v>46161</v>
      </c>
      <c r="AF18" s="1">
        <v>102</v>
      </c>
      <c r="AG18" s="1">
        <v>102</v>
      </c>
      <c r="AH18" s="1" t="s">
        <v>382</v>
      </c>
      <c r="AI18" s="1" t="b">
        <v>0</v>
      </c>
      <c r="AJ18" s="1" t="s">
        <v>430</v>
      </c>
      <c r="AK18" s="1" t="str">
        <f>IF(ISBLANK(SharePointTasks[[#This Row],[Operational ActionId]]), SharePointTasks[[#This Row],[Title]], SharePointTasks[[#This Row],[Title]] &amp; " (" &amp; VLOOKUP(SharePointTasks[[#This Row],[Operational ActionId]], Operational_Actions[], 6, FALSE) &amp; ")")</f>
        <v>Cycling - Off Road - SP/TP (Wide Bay)</v>
      </c>
      <c r="AM18" s="1" t="str">
        <v>Cycling - Off Road - SP/TP (Wide Bay)</v>
      </c>
    </row>
    <row r="19" spans="1:39" x14ac:dyDescent="0.2">
      <c r="A19" s="1">
        <v>0</v>
      </c>
      <c r="B19" s="1">
        <v>1048</v>
      </c>
      <c r="D19" s="1" t="s">
        <v>348</v>
      </c>
      <c r="E19" s="1" t="s">
        <v>427</v>
      </c>
      <c r="F19" s="1" t="s">
        <v>428</v>
      </c>
      <c r="G19" s="1" t="s">
        <v>378</v>
      </c>
      <c r="J19" s="1" t="s">
        <v>87</v>
      </c>
      <c r="K19" s="31">
        <v>46060</v>
      </c>
      <c r="L19" s="31">
        <v>46060</v>
      </c>
      <c r="P19" s="1" t="s">
        <v>379</v>
      </c>
      <c r="Q19" s="1" t="s">
        <v>379</v>
      </c>
      <c r="S19" s="1" t="s">
        <v>380</v>
      </c>
      <c r="T19" s="1">
        <v>7386</v>
      </c>
      <c r="U19" s="1" t="s">
        <v>381</v>
      </c>
      <c r="AA19" s="1" t="s">
        <v>5</v>
      </c>
      <c r="AC19" s="1">
        <v>1048</v>
      </c>
      <c r="AD19" s="31">
        <v>46221</v>
      </c>
      <c r="AE19" s="31">
        <v>46161</v>
      </c>
      <c r="AF19" s="1">
        <v>102</v>
      </c>
      <c r="AG19" s="1">
        <v>102</v>
      </c>
      <c r="AH19" s="1" t="s">
        <v>382</v>
      </c>
      <c r="AI19" s="1" t="b">
        <v>0</v>
      </c>
      <c r="AJ19" s="1" t="s">
        <v>429</v>
      </c>
      <c r="AK19" s="1" t="str">
        <f>IF(ISBLANK(SharePointTasks[[#This Row],[Operational ActionId]]), SharePointTasks[[#This Row],[Title]], SharePointTasks[[#This Row],[Title]] &amp; " (" &amp; VLOOKUP(SharePointTasks[[#This Row],[Operational ActionId]], Operational_Actions[], 6, FALSE) &amp; ")")</f>
        <v>Cycling - Off Road - SP/TP (Wide Bay)</v>
      </c>
      <c r="AM19" s="1" t="str">
        <v>Cycling - Off Road - SP/TP (Wide Bay)</v>
      </c>
    </row>
    <row r="20" spans="1:39" x14ac:dyDescent="0.2">
      <c r="A20" s="1">
        <v>0</v>
      </c>
      <c r="B20" s="1">
        <v>1029</v>
      </c>
      <c r="D20" s="1" t="s">
        <v>348</v>
      </c>
      <c r="E20" s="1" t="s">
        <v>431</v>
      </c>
      <c r="F20" s="1" t="s">
        <v>432</v>
      </c>
      <c r="G20" s="1" t="s">
        <v>378</v>
      </c>
      <c r="J20" s="1" t="s">
        <v>87</v>
      </c>
      <c r="K20" s="31">
        <v>46062</v>
      </c>
      <c r="L20" s="31">
        <v>46121</v>
      </c>
      <c r="P20" s="1" t="s">
        <v>379</v>
      </c>
      <c r="Q20" s="1" t="s">
        <v>379</v>
      </c>
      <c r="T20" s="1">
        <v>7247</v>
      </c>
      <c r="U20" s="1" t="s">
        <v>381</v>
      </c>
      <c r="AA20" s="1" t="s">
        <v>5</v>
      </c>
      <c r="AC20" s="1">
        <v>1029</v>
      </c>
      <c r="AD20" s="31">
        <v>46221</v>
      </c>
      <c r="AE20" s="31">
        <v>46161</v>
      </c>
      <c r="AF20" s="1">
        <v>102</v>
      </c>
      <c r="AG20" s="1">
        <v>102</v>
      </c>
      <c r="AH20" s="1" t="s">
        <v>382</v>
      </c>
      <c r="AI20" s="1" t="b">
        <v>0</v>
      </c>
      <c r="AJ20" s="1" t="s">
        <v>436</v>
      </c>
      <c r="AK20" s="1" t="str">
        <f>IF(ISBLANK(SharePointTasks[[#This Row],[Operational ActionId]]), SharePointTasks[[#This Row],[Title]], SharePointTasks[[#This Row],[Title]] &amp; " (" &amp; VLOOKUP(SharePointTasks[[#This Row],[Operational ActionId]], Operational_Actions[], 6, FALSE) &amp; ")")</f>
        <v>Scouting Adventure (Brisbane)</v>
      </c>
      <c r="AM20" s="1" t="str">
        <v>Scouting Adventure (Brisbane)</v>
      </c>
    </row>
    <row r="21" spans="1:39" x14ac:dyDescent="0.2">
      <c r="A21" s="1">
        <v>0</v>
      </c>
      <c r="B21" s="1">
        <v>1030</v>
      </c>
      <c r="D21" s="1" t="s">
        <v>348</v>
      </c>
      <c r="E21" s="1" t="s">
        <v>389</v>
      </c>
      <c r="F21" s="1" t="s">
        <v>434</v>
      </c>
      <c r="G21" s="1" t="s">
        <v>378</v>
      </c>
      <c r="J21" s="1" t="s">
        <v>87</v>
      </c>
      <c r="K21" s="31">
        <v>46062</v>
      </c>
      <c r="L21" s="31">
        <v>46121</v>
      </c>
      <c r="P21" s="1" t="s">
        <v>379</v>
      </c>
      <c r="Q21" s="1" t="s">
        <v>379</v>
      </c>
      <c r="T21" s="1">
        <v>7248</v>
      </c>
      <c r="U21" s="1" t="s">
        <v>381</v>
      </c>
      <c r="AA21" s="1" t="s">
        <v>5</v>
      </c>
      <c r="AC21" s="1">
        <v>1030</v>
      </c>
      <c r="AD21" s="31">
        <v>46221</v>
      </c>
      <c r="AE21" s="31">
        <v>46161</v>
      </c>
      <c r="AF21" s="1">
        <v>102</v>
      </c>
      <c r="AG21" s="1">
        <v>102</v>
      </c>
      <c r="AH21" s="1" t="s">
        <v>382</v>
      </c>
      <c r="AI21" s="1" t="b">
        <v>0</v>
      </c>
      <c r="AJ21" s="1" t="s">
        <v>437</v>
      </c>
      <c r="AK21" s="1" t="str">
        <f>IF(ISBLANK(SharePointTasks[[#This Row],[Operational ActionId]]), SharePointTasks[[#This Row],[Title]], SharePointTasks[[#This Row],[Title]] &amp; " (" &amp; VLOOKUP(SharePointTasks[[#This Row],[Operational ActionId]], Operational_Actions[], 6, FALSE) &amp; ")")</f>
        <v>Scouting Essentials (Brisbane)</v>
      </c>
      <c r="AM21" s="1" t="str">
        <v>Scouting Essentials (Brisbane)</v>
      </c>
    </row>
    <row r="22" spans="1:39" x14ac:dyDescent="0.2">
      <c r="A22" s="1">
        <v>0</v>
      </c>
      <c r="B22" s="1">
        <v>1052</v>
      </c>
      <c r="D22" s="1" t="s">
        <v>348</v>
      </c>
      <c r="E22" s="1" t="s">
        <v>431</v>
      </c>
      <c r="F22" s="1" t="s">
        <v>432</v>
      </c>
      <c r="G22" s="1" t="s">
        <v>378</v>
      </c>
      <c r="J22" s="1" t="s">
        <v>87</v>
      </c>
      <c r="K22" s="31">
        <v>46062</v>
      </c>
      <c r="L22" s="31">
        <v>46121</v>
      </c>
      <c r="P22" s="1" t="s">
        <v>379</v>
      </c>
      <c r="Q22" s="1" t="s">
        <v>379</v>
      </c>
      <c r="S22" s="1" t="s">
        <v>380</v>
      </c>
      <c r="T22" s="1">
        <v>7392</v>
      </c>
      <c r="U22" s="1" t="s">
        <v>381</v>
      </c>
      <c r="AA22" s="1" t="s">
        <v>5</v>
      </c>
      <c r="AC22" s="1">
        <v>1052</v>
      </c>
      <c r="AD22" s="31">
        <v>46221</v>
      </c>
      <c r="AE22" s="31">
        <v>46161</v>
      </c>
      <c r="AF22" s="1">
        <v>102</v>
      </c>
      <c r="AG22" s="1">
        <v>102</v>
      </c>
      <c r="AH22" s="1" t="s">
        <v>382</v>
      </c>
      <c r="AI22" s="1" t="b">
        <v>0</v>
      </c>
      <c r="AJ22" s="1" t="s">
        <v>433</v>
      </c>
      <c r="AK22" s="1" t="str">
        <f>IF(ISBLANK(SharePointTasks[[#This Row],[Operational ActionId]]), SharePointTasks[[#This Row],[Title]], SharePointTasks[[#This Row],[Title]] &amp; " (" &amp; VLOOKUP(SharePointTasks[[#This Row],[Operational ActionId]], Operational_Actions[], 6, FALSE) &amp; ")")</f>
        <v>Scouting Adventure (Brisbane)</v>
      </c>
      <c r="AM22" s="1" t="str">
        <v>Scouting Adventure (Brisbane)</v>
      </c>
    </row>
    <row r="23" spans="1:39" x14ac:dyDescent="0.2">
      <c r="A23" s="1">
        <v>0</v>
      </c>
      <c r="B23" s="1">
        <v>1053</v>
      </c>
      <c r="D23" s="1" t="s">
        <v>348</v>
      </c>
      <c r="E23" s="1" t="s">
        <v>389</v>
      </c>
      <c r="F23" s="1" t="s">
        <v>434</v>
      </c>
      <c r="G23" s="1" t="s">
        <v>378</v>
      </c>
      <c r="J23" s="1" t="s">
        <v>87</v>
      </c>
      <c r="K23" s="31">
        <v>46062</v>
      </c>
      <c r="L23" s="31">
        <v>46121</v>
      </c>
      <c r="P23" s="1" t="s">
        <v>379</v>
      </c>
      <c r="Q23" s="1" t="s">
        <v>379</v>
      </c>
      <c r="S23" s="1" t="s">
        <v>380</v>
      </c>
      <c r="T23" s="1">
        <v>7393</v>
      </c>
      <c r="U23" s="1" t="s">
        <v>381</v>
      </c>
      <c r="AA23" s="1" t="s">
        <v>5</v>
      </c>
      <c r="AC23" s="1">
        <v>1053</v>
      </c>
      <c r="AD23" s="31">
        <v>46221</v>
      </c>
      <c r="AE23" s="31">
        <v>46161</v>
      </c>
      <c r="AF23" s="1">
        <v>102</v>
      </c>
      <c r="AG23" s="1">
        <v>102</v>
      </c>
      <c r="AH23" s="1" t="s">
        <v>382</v>
      </c>
      <c r="AI23" s="1" t="b">
        <v>0</v>
      </c>
      <c r="AJ23" s="1" t="s">
        <v>435</v>
      </c>
      <c r="AK23" s="1" t="str">
        <f>IF(ISBLANK(SharePointTasks[[#This Row],[Operational ActionId]]), SharePointTasks[[#This Row],[Title]], SharePointTasks[[#This Row],[Title]] &amp; " (" &amp; VLOOKUP(SharePointTasks[[#This Row],[Operational ActionId]], Operational_Actions[], 6, FALSE) &amp; ")")</f>
        <v>Scouting Essentials (Brisbane)</v>
      </c>
      <c r="AM23" s="1" t="str">
        <v>Scouting Essentials (Brisbane)</v>
      </c>
    </row>
    <row r="24" spans="1:39" x14ac:dyDescent="0.2">
      <c r="A24" s="1">
        <v>0</v>
      </c>
      <c r="B24" s="1">
        <v>992</v>
      </c>
      <c r="D24" s="1" t="s">
        <v>348</v>
      </c>
      <c r="E24" s="1" t="s">
        <v>405</v>
      </c>
      <c r="F24" s="1" t="s">
        <v>406</v>
      </c>
      <c r="G24" s="1" t="s">
        <v>378</v>
      </c>
      <c r="J24" s="1" t="s">
        <v>87</v>
      </c>
      <c r="K24" s="31">
        <v>46067</v>
      </c>
      <c r="L24" s="31">
        <v>46067</v>
      </c>
      <c r="P24" s="1" t="s">
        <v>379</v>
      </c>
      <c r="Q24" s="1" t="s">
        <v>379</v>
      </c>
      <c r="S24" s="1" t="s">
        <v>407</v>
      </c>
      <c r="T24" s="1">
        <v>5782</v>
      </c>
      <c r="U24" s="1" t="s">
        <v>381</v>
      </c>
      <c r="AA24" s="1" t="s">
        <v>5</v>
      </c>
      <c r="AC24" s="1">
        <v>992</v>
      </c>
      <c r="AD24" s="31">
        <v>46221</v>
      </c>
      <c r="AE24" s="31">
        <v>46161</v>
      </c>
      <c r="AF24" s="1">
        <v>102</v>
      </c>
      <c r="AG24" s="1">
        <v>102</v>
      </c>
      <c r="AH24" s="1" t="s">
        <v>382</v>
      </c>
      <c r="AI24" s="1" t="b">
        <v>0</v>
      </c>
      <c r="AJ24" s="1" t="s">
        <v>438</v>
      </c>
      <c r="AK24" s="1" t="str">
        <f>IF(ISBLANK(SharePointTasks[[#This Row],[Operational ActionId]]), SharePointTasks[[#This Row],[Title]], SharePointTasks[[#This Row],[Title]] &amp; " (" &amp; VLOOKUP(SharePointTasks[[#This Row],[Operational ActionId]], Operational_Actions[], 6, FALSE) &amp; ")")</f>
        <v>Queensland Branch Rover Council Meeting</v>
      </c>
      <c r="AM24" s="1" t="str">
        <v>Queensland Branch Rover Council Meeting</v>
      </c>
    </row>
    <row r="25" spans="1:39" x14ac:dyDescent="0.2">
      <c r="A25" s="1">
        <v>0</v>
      </c>
      <c r="B25" s="1">
        <v>951</v>
      </c>
      <c r="D25" s="1" t="s">
        <v>348</v>
      </c>
      <c r="E25" s="1" t="s">
        <v>409</v>
      </c>
      <c r="F25" s="1" t="s">
        <v>410</v>
      </c>
      <c r="G25" s="1" t="s">
        <v>378</v>
      </c>
      <c r="J25" s="1" t="s">
        <v>87</v>
      </c>
      <c r="K25" s="31">
        <v>46068</v>
      </c>
      <c r="L25" s="31">
        <v>46068</v>
      </c>
      <c r="P25" s="1" t="s">
        <v>379</v>
      </c>
      <c r="Q25" s="1" t="s">
        <v>379</v>
      </c>
      <c r="T25" s="1">
        <v>5741</v>
      </c>
      <c r="U25" s="1" t="s">
        <v>381</v>
      </c>
      <c r="AA25" s="1" t="s">
        <v>5</v>
      </c>
      <c r="AC25" s="1">
        <v>951</v>
      </c>
      <c r="AD25" s="31">
        <v>46221</v>
      </c>
      <c r="AE25" s="31">
        <v>46161</v>
      </c>
      <c r="AF25" s="1">
        <v>102</v>
      </c>
      <c r="AG25" s="1">
        <v>102</v>
      </c>
      <c r="AH25" s="1" t="s">
        <v>382</v>
      </c>
      <c r="AI25" s="1" t="b">
        <v>0</v>
      </c>
      <c r="AJ25" s="1" t="s">
        <v>439</v>
      </c>
      <c r="AK25" s="1" t="str">
        <f>IF(ISBLANK(SharePointTasks[[#This Row],[Operational ActionId]]), SharePointTasks[[#This Row],[Title]], SharePointTasks[[#This Row],[Title]] &amp; " (" &amp; VLOOKUP(SharePointTasks[[#This Row],[Operational ActionId]], Operational_Actions[], 6, FALSE) &amp; ")")</f>
        <v>Branch Finance Committee</v>
      </c>
      <c r="AM25" s="1" t="str">
        <v>Branch Finance Committee</v>
      </c>
    </row>
    <row r="26" spans="1:39" x14ac:dyDescent="0.2">
      <c r="A26" s="1">
        <v>0</v>
      </c>
      <c r="B26" s="1">
        <v>971</v>
      </c>
      <c r="D26" s="1" t="s">
        <v>348</v>
      </c>
      <c r="E26" s="1" t="s">
        <v>440</v>
      </c>
      <c r="F26" s="1" t="s">
        <v>406</v>
      </c>
      <c r="G26" s="1" t="s">
        <v>378</v>
      </c>
      <c r="J26" s="1" t="s">
        <v>87</v>
      </c>
      <c r="K26" s="31">
        <v>46068</v>
      </c>
      <c r="L26" s="31">
        <v>46068</v>
      </c>
      <c r="P26" s="1" t="s">
        <v>379</v>
      </c>
      <c r="Q26" s="1" t="s">
        <v>379</v>
      </c>
      <c r="T26" s="1">
        <v>5761</v>
      </c>
      <c r="U26" s="1" t="s">
        <v>381</v>
      </c>
      <c r="Z26" s="1" t="s">
        <v>413</v>
      </c>
      <c r="AA26" s="1" t="s">
        <v>5</v>
      </c>
      <c r="AC26" s="1">
        <v>971</v>
      </c>
      <c r="AD26" s="31">
        <v>46221</v>
      </c>
      <c r="AE26" s="31">
        <v>46161</v>
      </c>
      <c r="AF26" s="1">
        <v>102</v>
      </c>
      <c r="AG26" s="1">
        <v>102</v>
      </c>
      <c r="AH26" s="1" t="s">
        <v>414</v>
      </c>
      <c r="AI26" s="1" t="b">
        <v>0</v>
      </c>
      <c r="AJ26" s="1" t="s">
        <v>441</v>
      </c>
      <c r="AK26" s="1" t="str">
        <f>IF(ISBLANK(SharePointTasks[[#This Row],[Operational ActionId]]), SharePointTasks[[#This Row],[Title]], SharePointTasks[[#This Row],[Title]] &amp; " (" &amp; VLOOKUP(SharePointTasks[[#This Row],[Operational ActionId]], Operational_Actions[], 6, FALSE) &amp; ")")</f>
        <v>Branch Scout Section Council</v>
      </c>
      <c r="AM26" s="1" t="str">
        <v>Branch Scout Section Council</v>
      </c>
    </row>
    <row r="27" spans="1:39" x14ac:dyDescent="0.2">
      <c r="A27" s="1">
        <v>0</v>
      </c>
      <c r="B27" s="1">
        <v>963</v>
      </c>
      <c r="D27" s="1" t="s">
        <v>348</v>
      </c>
      <c r="E27" s="1" t="s">
        <v>412</v>
      </c>
      <c r="F27" s="1" t="s">
        <v>406</v>
      </c>
      <c r="G27" s="1" t="s">
        <v>378</v>
      </c>
      <c r="J27" s="1" t="s">
        <v>87</v>
      </c>
      <c r="K27" s="31">
        <v>46070</v>
      </c>
      <c r="L27" s="31">
        <v>46070</v>
      </c>
      <c r="P27" s="1" t="s">
        <v>379</v>
      </c>
      <c r="Q27" s="1" t="s">
        <v>379</v>
      </c>
      <c r="S27" s="1" t="s">
        <v>129</v>
      </c>
      <c r="T27" s="1">
        <v>5753</v>
      </c>
      <c r="U27" s="1" t="s">
        <v>381</v>
      </c>
      <c r="Z27" s="1" t="s">
        <v>413</v>
      </c>
      <c r="AA27" s="1" t="s">
        <v>5</v>
      </c>
      <c r="AC27" s="1">
        <v>963</v>
      </c>
      <c r="AD27" s="31">
        <v>46221</v>
      </c>
      <c r="AE27" s="31">
        <v>46161</v>
      </c>
      <c r="AF27" s="1">
        <v>102</v>
      </c>
      <c r="AG27" s="1">
        <v>102</v>
      </c>
      <c r="AH27" s="1" t="s">
        <v>414</v>
      </c>
      <c r="AI27" s="1" t="b">
        <v>0</v>
      </c>
      <c r="AJ27" s="1" t="s">
        <v>444</v>
      </c>
      <c r="AK27" s="1" t="str">
        <f>IF(ISBLANK(SharePointTasks[[#This Row],[Operational ActionId]]), SharePointTasks[[#This Row],[Title]], SharePointTasks[[#This Row],[Title]] &amp; " (" &amp; VLOOKUP(SharePointTasks[[#This Row],[Operational ActionId]], Operational_Actions[], 6, FALSE) &amp; ")")</f>
        <v>Branch Joey Scout Council</v>
      </c>
      <c r="AM27" s="1" t="str">
        <v>Branch Joey Scout Council</v>
      </c>
    </row>
    <row r="28" spans="1:39" x14ac:dyDescent="0.2">
      <c r="A28" s="1">
        <v>0</v>
      </c>
      <c r="B28" s="1">
        <v>980</v>
      </c>
      <c r="D28" s="1" t="s">
        <v>348</v>
      </c>
      <c r="E28" s="1" t="s">
        <v>442</v>
      </c>
      <c r="F28" s="1" t="s">
        <v>406</v>
      </c>
      <c r="G28" s="1" t="s">
        <v>378</v>
      </c>
      <c r="J28" s="1" t="s">
        <v>87</v>
      </c>
      <c r="K28" s="31">
        <v>46070</v>
      </c>
      <c r="L28" s="31">
        <v>46070</v>
      </c>
      <c r="P28" s="1" t="s">
        <v>379</v>
      </c>
      <c r="Q28" s="1" t="s">
        <v>379</v>
      </c>
      <c r="T28" s="1">
        <v>5770</v>
      </c>
      <c r="U28" s="1" t="s">
        <v>381</v>
      </c>
      <c r="AA28" s="1" t="s">
        <v>5</v>
      </c>
      <c r="AC28" s="1">
        <v>980</v>
      </c>
      <c r="AD28" s="31">
        <v>46221</v>
      </c>
      <c r="AE28" s="31">
        <v>46161</v>
      </c>
      <c r="AF28" s="1">
        <v>102</v>
      </c>
      <c r="AG28" s="1">
        <v>102</v>
      </c>
      <c r="AH28" s="1" t="s">
        <v>382</v>
      </c>
      <c r="AI28" s="1" t="b">
        <v>0</v>
      </c>
      <c r="AJ28" s="1" t="s">
        <v>443</v>
      </c>
      <c r="AK28" s="1" t="str">
        <f>IF(ISBLANK(SharePointTasks[[#This Row],[Operational ActionId]]), SharePointTasks[[#This Row],[Title]], SharePointTasks[[#This Row],[Title]] &amp; " (" &amp; VLOOKUP(SharePointTasks[[#This Row],[Operational ActionId]], Operational_Actions[], 6, FALSE) &amp; ")")</f>
        <v>Branch Youth Venturer Scout Council</v>
      </c>
      <c r="AM28" s="1" t="str">
        <v>Branch Youth Venturer Scout Council</v>
      </c>
    </row>
    <row r="29" spans="1:39" x14ac:dyDescent="0.2">
      <c r="A29" s="1">
        <v>0</v>
      </c>
      <c r="B29" s="1">
        <v>928</v>
      </c>
      <c r="D29" s="1" t="s">
        <v>348</v>
      </c>
      <c r="E29" s="1" t="s">
        <v>445</v>
      </c>
      <c r="F29" s="1" t="s">
        <v>406</v>
      </c>
      <c r="G29" s="1" t="s">
        <v>378</v>
      </c>
      <c r="J29" s="1" t="s">
        <v>87</v>
      </c>
      <c r="K29" s="31">
        <v>46071</v>
      </c>
      <c r="L29" s="31">
        <v>46071</v>
      </c>
      <c r="P29" s="1" t="s">
        <v>379</v>
      </c>
      <c r="Q29" s="1" t="s">
        <v>379</v>
      </c>
      <c r="T29" s="1">
        <v>5718</v>
      </c>
      <c r="U29" s="1" t="s">
        <v>381</v>
      </c>
      <c r="AA29" s="1" t="s">
        <v>5</v>
      </c>
      <c r="AC29" s="1">
        <v>928</v>
      </c>
      <c r="AD29" s="31">
        <v>46221</v>
      </c>
      <c r="AE29" s="31">
        <v>46161</v>
      </c>
      <c r="AF29" s="1">
        <v>102</v>
      </c>
      <c r="AG29" s="1">
        <v>102</v>
      </c>
      <c r="AH29" s="1" t="s">
        <v>382</v>
      </c>
      <c r="AI29" s="1" t="b">
        <v>0</v>
      </c>
      <c r="AJ29" s="1" t="s">
        <v>446</v>
      </c>
      <c r="AK29" s="1" t="str">
        <f>IF(ISBLANK(SharePointTasks[[#This Row],[Operational ActionId]]), SharePointTasks[[#This Row],[Title]], SharePointTasks[[#This Row],[Title]] &amp; " (" &amp; VLOOKUP(SharePointTasks[[#This Row],[Operational ActionId]], Operational_Actions[], 6, FALSE) &amp; ")")</f>
        <v>Branch Cub Scout Section Team Meeting</v>
      </c>
      <c r="AM29" s="1" t="str">
        <v>Branch Cub Scout Section Team Meeting</v>
      </c>
    </row>
    <row r="30" spans="1:39" x14ac:dyDescent="0.2">
      <c r="A30" s="1">
        <v>0</v>
      </c>
      <c r="B30" s="1">
        <v>882</v>
      </c>
      <c r="D30" s="1" t="s">
        <v>348</v>
      </c>
      <c r="E30" s="1" t="s">
        <v>447</v>
      </c>
      <c r="F30" s="1" t="s">
        <v>448</v>
      </c>
      <c r="G30" s="1" t="s">
        <v>378</v>
      </c>
      <c r="J30" s="1" t="s">
        <v>87</v>
      </c>
      <c r="K30" s="31">
        <v>46072</v>
      </c>
      <c r="L30" s="31">
        <v>46072</v>
      </c>
      <c r="P30" s="1" t="s">
        <v>379</v>
      </c>
      <c r="Q30" s="1" t="s">
        <v>379</v>
      </c>
      <c r="T30" s="1">
        <v>5669</v>
      </c>
      <c r="U30" s="1" t="s">
        <v>381</v>
      </c>
      <c r="AA30" s="1" t="s">
        <v>5</v>
      </c>
      <c r="AC30" s="1">
        <v>882</v>
      </c>
      <c r="AD30" s="31">
        <v>46221</v>
      </c>
      <c r="AE30" s="31">
        <v>46161</v>
      </c>
      <c r="AF30" s="1">
        <v>102</v>
      </c>
      <c r="AG30" s="1">
        <v>102</v>
      </c>
      <c r="AH30" s="1" t="s">
        <v>382</v>
      </c>
      <c r="AI30" s="1" t="b">
        <v>0</v>
      </c>
      <c r="AJ30" s="1" t="s">
        <v>449</v>
      </c>
      <c r="AK30" s="1" t="str">
        <f>IF(ISBLANK(SharePointTasks[[#This Row],[Operational ActionId]]), SharePointTasks[[#This Row],[Title]], SharePointTasks[[#This Row],[Title]] &amp; " (" &amp; VLOOKUP(SharePointTasks[[#This Row],[Operational ActionId]], Operational_Actions[], 6, FALSE) &amp; ")")</f>
        <v>Founder's Day Dinner</v>
      </c>
      <c r="AM30" s="1" t="str">
        <v>Founder's Day Dinner</v>
      </c>
    </row>
    <row r="31" spans="1:39" x14ac:dyDescent="0.2">
      <c r="A31" s="1">
        <v>0</v>
      </c>
      <c r="B31" s="1">
        <v>899</v>
      </c>
      <c r="D31" s="1" t="s">
        <v>348</v>
      </c>
      <c r="E31" s="1" t="s">
        <v>454</v>
      </c>
      <c r="F31" s="1" t="s">
        <v>416</v>
      </c>
      <c r="G31" s="1" t="s">
        <v>378</v>
      </c>
      <c r="J31" s="1" t="s">
        <v>87</v>
      </c>
      <c r="K31" s="31">
        <v>46072</v>
      </c>
      <c r="L31" s="31">
        <v>46074</v>
      </c>
      <c r="P31" s="1" t="s">
        <v>379</v>
      </c>
      <c r="Q31" s="1" t="s">
        <v>379</v>
      </c>
      <c r="T31" s="1">
        <v>5688</v>
      </c>
      <c r="U31" s="1" t="s">
        <v>381</v>
      </c>
      <c r="AA31" s="1" t="s">
        <v>5</v>
      </c>
      <c r="AC31" s="1">
        <v>899</v>
      </c>
      <c r="AD31" s="31">
        <v>46221</v>
      </c>
      <c r="AE31" s="31">
        <v>46161</v>
      </c>
      <c r="AF31" s="1">
        <v>102</v>
      </c>
      <c r="AG31" s="1">
        <v>102</v>
      </c>
      <c r="AH31" s="1" t="s">
        <v>382</v>
      </c>
      <c r="AI31" s="1" t="b">
        <v>0</v>
      </c>
      <c r="AJ31" s="1" t="s">
        <v>455</v>
      </c>
      <c r="AK31" s="1" t="str">
        <f>IF(ISBLANK(SharePointTasks[[#This Row],[Operational ActionId]]), SharePointTasks[[#This Row],[Title]], SharePointTasks[[#This Row],[Title]] &amp; " (" &amp; VLOOKUP(SharePointTasks[[#This Row],[Operational ActionId]], Operational_Actions[], 6, FALSE) &amp; ")")</f>
        <v>Synchronised Cub Scout Camp (local groups)</v>
      </c>
      <c r="AM31" s="1" t="str">
        <v>Synchronised Cub Scout Camp (local groups)</v>
      </c>
    </row>
    <row r="32" spans="1:39" x14ac:dyDescent="0.2">
      <c r="A32" s="1">
        <v>0</v>
      </c>
      <c r="B32" s="1">
        <v>1009</v>
      </c>
      <c r="D32" s="1" t="s">
        <v>348</v>
      </c>
      <c r="E32" s="1" t="s">
        <v>450</v>
      </c>
      <c r="F32" s="1" t="s">
        <v>451</v>
      </c>
      <c r="G32" s="1" t="s">
        <v>378</v>
      </c>
      <c r="J32" s="1" t="s">
        <v>87</v>
      </c>
      <c r="K32" s="31">
        <v>46072</v>
      </c>
      <c r="L32" s="31">
        <v>46074</v>
      </c>
      <c r="P32" s="1" t="s">
        <v>379</v>
      </c>
      <c r="Q32" s="1" t="s">
        <v>379</v>
      </c>
      <c r="S32" s="1" t="s">
        <v>380</v>
      </c>
      <c r="T32" s="1">
        <v>7154</v>
      </c>
      <c r="U32" s="1" t="s">
        <v>381</v>
      </c>
      <c r="AA32" s="1" t="s">
        <v>5</v>
      </c>
      <c r="AC32" s="1">
        <v>1009</v>
      </c>
      <c r="AD32" s="31">
        <v>46221</v>
      </c>
      <c r="AE32" s="31">
        <v>46161</v>
      </c>
      <c r="AF32" s="1">
        <v>102</v>
      </c>
      <c r="AG32" s="1">
        <v>102</v>
      </c>
      <c r="AH32" s="1" t="s">
        <v>382</v>
      </c>
      <c r="AI32" s="1" t="b">
        <v>0</v>
      </c>
      <c r="AJ32" s="1" t="s">
        <v>452</v>
      </c>
      <c r="AK32" s="1" t="str">
        <f>IF(ISBLANK(SharePointTasks[[#This Row],[Operational ActionId]]), SharePointTasks[[#This Row],[Title]], SharePointTasks[[#This Row],[Title]] &amp; " (" &amp; VLOOKUP(SharePointTasks[[#This Row],[Operational ActionId]], Operational_Actions[], 6, FALSE) &amp; ")")</f>
        <v>Scouting Adventure (Ipswich)</v>
      </c>
      <c r="AM32" s="1" t="str">
        <v>Scouting Adventure (Ipswich)</v>
      </c>
    </row>
    <row r="33" spans="1:39" x14ac:dyDescent="0.2">
      <c r="A33" s="1">
        <v>0</v>
      </c>
      <c r="B33" s="1">
        <v>1060</v>
      </c>
      <c r="D33" s="1" t="s">
        <v>348</v>
      </c>
      <c r="E33" s="1" t="s">
        <v>450</v>
      </c>
      <c r="F33" s="1" t="s">
        <v>451</v>
      </c>
      <c r="G33" s="1" t="s">
        <v>378</v>
      </c>
      <c r="J33" s="1" t="s">
        <v>87</v>
      </c>
      <c r="K33" s="31">
        <v>46072</v>
      </c>
      <c r="L33" s="31">
        <v>46074</v>
      </c>
      <c r="P33" s="1" t="s">
        <v>379</v>
      </c>
      <c r="Q33" s="1" t="s">
        <v>379</v>
      </c>
      <c r="S33" s="1" t="s">
        <v>380</v>
      </c>
      <c r="T33" s="1">
        <v>7478</v>
      </c>
      <c r="U33" s="1" t="s">
        <v>381</v>
      </c>
      <c r="AA33" s="1" t="s">
        <v>5</v>
      </c>
      <c r="AC33" s="1">
        <v>1060</v>
      </c>
      <c r="AD33" s="31">
        <v>46221</v>
      </c>
      <c r="AE33" s="31">
        <v>46161</v>
      </c>
      <c r="AF33" s="1">
        <v>102</v>
      </c>
      <c r="AG33" s="1">
        <v>102</v>
      </c>
      <c r="AH33" s="1" t="s">
        <v>382</v>
      </c>
      <c r="AI33" s="1" t="b">
        <v>0</v>
      </c>
      <c r="AJ33" s="1" t="s">
        <v>453</v>
      </c>
      <c r="AK33" s="1" t="str">
        <f>IF(ISBLANK(SharePointTasks[[#This Row],[Operational ActionId]]), SharePointTasks[[#This Row],[Title]], SharePointTasks[[#This Row],[Title]] &amp; " (" &amp; VLOOKUP(SharePointTasks[[#This Row],[Operational ActionId]], Operational_Actions[], 6, FALSE) &amp; ")")</f>
        <v>Scouting Adventure (Ipswich)</v>
      </c>
      <c r="AM33" s="1" t="str">
        <v>Scouting Adventure (Ipswich)</v>
      </c>
    </row>
    <row r="34" spans="1:39" x14ac:dyDescent="0.2">
      <c r="A34" s="1">
        <v>0</v>
      </c>
      <c r="B34" s="1">
        <v>1008</v>
      </c>
      <c r="D34" s="1" t="s">
        <v>348</v>
      </c>
      <c r="E34" s="1" t="s">
        <v>456</v>
      </c>
      <c r="F34" s="1" t="s">
        <v>457</v>
      </c>
      <c r="G34" s="1" t="s">
        <v>378</v>
      </c>
      <c r="J34" s="1" t="s">
        <v>87</v>
      </c>
      <c r="K34" s="31">
        <v>46073</v>
      </c>
      <c r="L34" s="31">
        <v>46073</v>
      </c>
      <c r="P34" s="1" t="s">
        <v>379</v>
      </c>
      <c r="Q34" s="1" t="s">
        <v>379</v>
      </c>
      <c r="S34" s="1" t="s">
        <v>380</v>
      </c>
      <c r="T34" s="1">
        <v>7153</v>
      </c>
      <c r="U34" s="1" t="s">
        <v>381</v>
      </c>
      <c r="AA34" s="1" t="s">
        <v>5</v>
      </c>
      <c r="AC34" s="1">
        <v>1008</v>
      </c>
      <c r="AD34" s="31">
        <v>46221</v>
      </c>
      <c r="AE34" s="31">
        <v>46161</v>
      </c>
      <c r="AF34" s="1">
        <v>102</v>
      </c>
      <c r="AG34" s="1">
        <v>102</v>
      </c>
      <c r="AH34" s="1" t="s">
        <v>382</v>
      </c>
      <c r="AI34" s="1" t="b">
        <v>0</v>
      </c>
      <c r="AJ34" s="1" t="s">
        <v>458</v>
      </c>
      <c r="AK34" s="1" t="str">
        <f>IF(ISBLANK(SharePointTasks[[#This Row],[Operational ActionId]]), SharePointTasks[[#This Row],[Title]], SharePointTasks[[#This Row],[Title]] &amp; " (" &amp; VLOOKUP(SharePointTasks[[#This Row],[Operational ActionId]], Operational_Actions[], 6, FALSE) &amp; ")")</f>
        <v>Paddling - SUP Inland Flatwater SP/TP</v>
      </c>
      <c r="AM34" s="1" t="str">
        <v>Paddling - SUP Inland Flatwater SP/TP</v>
      </c>
    </row>
    <row r="35" spans="1:39" x14ac:dyDescent="0.2">
      <c r="A35" s="1">
        <v>0</v>
      </c>
      <c r="B35" s="1">
        <v>1059</v>
      </c>
      <c r="D35" s="1" t="s">
        <v>348</v>
      </c>
      <c r="E35" s="1" t="s">
        <v>456</v>
      </c>
      <c r="F35" s="1" t="s">
        <v>457</v>
      </c>
      <c r="G35" s="1" t="s">
        <v>378</v>
      </c>
      <c r="J35" s="1" t="s">
        <v>87</v>
      </c>
      <c r="K35" s="31">
        <v>46073</v>
      </c>
      <c r="L35" s="31">
        <v>46073</v>
      </c>
      <c r="P35" s="1" t="s">
        <v>379</v>
      </c>
      <c r="Q35" s="1" t="s">
        <v>379</v>
      </c>
      <c r="S35" s="1" t="s">
        <v>380</v>
      </c>
      <c r="T35" s="1">
        <v>7477</v>
      </c>
      <c r="U35" s="1" t="s">
        <v>381</v>
      </c>
      <c r="AA35" s="1" t="s">
        <v>5</v>
      </c>
      <c r="AC35" s="1">
        <v>1059</v>
      </c>
      <c r="AD35" s="31">
        <v>46221</v>
      </c>
      <c r="AE35" s="31">
        <v>46161</v>
      </c>
      <c r="AF35" s="1">
        <v>102</v>
      </c>
      <c r="AG35" s="1">
        <v>102</v>
      </c>
      <c r="AH35" s="1" t="s">
        <v>382</v>
      </c>
      <c r="AI35" s="1" t="b">
        <v>0</v>
      </c>
      <c r="AJ35" s="1" t="s">
        <v>459</v>
      </c>
      <c r="AK35" s="1" t="str">
        <f>IF(ISBLANK(SharePointTasks[[#This Row],[Operational ActionId]]), SharePointTasks[[#This Row],[Title]], SharePointTasks[[#This Row],[Title]] &amp; " (" &amp; VLOOKUP(SharePointTasks[[#This Row],[Operational ActionId]], Operational_Actions[], 6, FALSE) &amp; ")")</f>
        <v>Paddling - SUP Inland Flatwater SP/TP</v>
      </c>
      <c r="AM35" s="1" t="str">
        <v>Paddling - SUP Inland Flatwater SP/TP</v>
      </c>
    </row>
    <row r="36" spans="1:39" x14ac:dyDescent="0.2">
      <c r="A36" s="1">
        <v>0</v>
      </c>
      <c r="B36" s="1">
        <v>881</v>
      </c>
      <c r="D36" s="1" t="s">
        <v>348</v>
      </c>
      <c r="E36" s="1" t="s">
        <v>460</v>
      </c>
      <c r="F36" s="1" t="s">
        <v>461</v>
      </c>
      <c r="G36" s="1" t="s">
        <v>378</v>
      </c>
      <c r="J36" s="1" t="s">
        <v>87</v>
      </c>
      <c r="K36" s="31">
        <v>46074</v>
      </c>
      <c r="L36" s="31">
        <v>46074</v>
      </c>
      <c r="P36" s="1" t="s">
        <v>379</v>
      </c>
      <c r="Q36" s="1" t="s">
        <v>379</v>
      </c>
      <c r="T36" s="1">
        <v>5668</v>
      </c>
      <c r="U36" s="1" t="s">
        <v>381</v>
      </c>
      <c r="AA36" s="1" t="s">
        <v>5</v>
      </c>
      <c r="AC36" s="1">
        <v>881</v>
      </c>
      <c r="AD36" s="31">
        <v>46221</v>
      </c>
      <c r="AE36" s="31">
        <v>46161</v>
      </c>
      <c r="AF36" s="1">
        <v>102</v>
      </c>
      <c r="AG36" s="1">
        <v>102</v>
      </c>
      <c r="AH36" s="1" t="s">
        <v>382</v>
      </c>
      <c r="AI36" s="1" t="b">
        <v>0</v>
      </c>
      <c r="AJ36" s="1" t="s">
        <v>462</v>
      </c>
      <c r="AK36" s="1" t="str">
        <f>IF(ISBLANK(SharePointTasks[[#This Row],[Operational ActionId]]), SharePointTasks[[#This Row],[Title]], SharePointTasks[[#This Row],[Title]] &amp; " (" &amp; VLOOKUP(SharePointTasks[[#This Row],[Operational ActionId]], Operational_Actions[], 6, FALSE) &amp; ")")</f>
        <v>Founder's Day</v>
      </c>
      <c r="AM36" s="1" t="str">
        <v>Founder's Day</v>
      </c>
    </row>
    <row r="37" spans="1:39" x14ac:dyDescent="0.2">
      <c r="A37" s="1">
        <v>0</v>
      </c>
      <c r="B37" s="1">
        <v>874</v>
      </c>
      <c r="D37" s="1" t="s">
        <v>348</v>
      </c>
      <c r="E37" s="1" t="s">
        <v>463</v>
      </c>
      <c r="F37" s="1" t="s">
        <v>416</v>
      </c>
      <c r="G37" s="1" t="s">
        <v>378</v>
      </c>
      <c r="J37" s="1" t="s">
        <v>87</v>
      </c>
      <c r="K37" s="31">
        <v>46075</v>
      </c>
      <c r="L37" s="31">
        <v>46075</v>
      </c>
      <c r="P37" s="1" t="s">
        <v>379</v>
      </c>
      <c r="Q37" s="1" t="s">
        <v>379</v>
      </c>
      <c r="T37" s="1">
        <v>5661</v>
      </c>
      <c r="U37" s="1" t="s">
        <v>381</v>
      </c>
      <c r="AA37" s="1" t="s">
        <v>5</v>
      </c>
      <c r="AC37" s="1">
        <v>874</v>
      </c>
      <c r="AD37" s="31">
        <v>46221</v>
      </c>
      <c r="AE37" s="31">
        <v>46161</v>
      </c>
      <c r="AF37" s="1">
        <v>102</v>
      </c>
      <c r="AG37" s="1">
        <v>102</v>
      </c>
      <c r="AH37" s="1" t="s">
        <v>382</v>
      </c>
      <c r="AI37" s="1" t="b">
        <v>0</v>
      </c>
      <c r="AJ37" s="1" t="s">
        <v>464</v>
      </c>
      <c r="AK37" s="1" t="str">
        <f>IF(ISBLANK(SharePointTasks[[#This Row],[Operational ActionId]]), SharePointTasks[[#This Row],[Title]], SharePointTasks[[#This Row],[Title]] &amp; " (" &amp; VLOOKUP(SharePointTasks[[#This Row],[Operational ActionId]], Operational_Actions[], 6, FALSE) &amp; ")")</f>
        <v>ARA Nominations Deadline</v>
      </c>
      <c r="AM37" s="1" t="str">
        <v>ARA Nominations Deadline</v>
      </c>
    </row>
    <row r="38" spans="1:39" x14ac:dyDescent="0.2">
      <c r="A38" s="1">
        <v>0</v>
      </c>
      <c r="B38" s="1">
        <v>939</v>
      </c>
      <c r="D38" s="1" t="s">
        <v>348</v>
      </c>
      <c r="E38" s="1" t="s">
        <v>418</v>
      </c>
      <c r="F38" s="1" t="s">
        <v>419</v>
      </c>
      <c r="G38" s="1" t="s">
        <v>378</v>
      </c>
      <c r="J38" s="1" t="s">
        <v>87</v>
      </c>
      <c r="K38" s="31">
        <v>46076</v>
      </c>
      <c r="L38" s="31">
        <v>46076</v>
      </c>
      <c r="P38" s="1" t="s">
        <v>379</v>
      </c>
      <c r="Q38" s="1" t="s">
        <v>379</v>
      </c>
      <c r="T38" s="1">
        <v>5729</v>
      </c>
      <c r="U38" s="1" t="s">
        <v>381</v>
      </c>
      <c r="AA38" s="1" t="s">
        <v>5</v>
      </c>
      <c r="AC38" s="1">
        <v>939</v>
      </c>
      <c r="AD38" s="31">
        <v>46221</v>
      </c>
      <c r="AE38" s="31">
        <v>46161</v>
      </c>
      <c r="AF38" s="1">
        <v>102</v>
      </c>
      <c r="AG38" s="1">
        <v>102</v>
      </c>
      <c r="AH38" s="1" t="s">
        <v>382</v>
      </c>
      <c r="AI38" s="1" t="b">
        <v>0</v>
      </c>
      <c r="AJ38" s="1" t="s">
        <v>468</v>
      </c>
      <c r="AK38" s="1" t="str">
        <f>IF(ISBLANK(SharePointTasks[[#This Row],[Operational ActionId]]), SharePointTasks[[#This Row],[Title]], SharePointTasks[[#This Row],[Title]] &amp; " (" &amp; VLOOKUP(SharePointTasks[[#This Row],[Operational ActionId]], Operational_Actions[], 6, FALSE) &amp; ")")</f>
        <v>Branch Executive Committee</v>
      </c>
      <c r="AM38" s="1" t="str">
        <v>Branch Executive Committee</v>
      </c>
    </row>
    <row r="39" spans="1:39" x14ac:dyDescent="0.2">
      <c r="A39" s="1">
        <v>0</v>
      </c>
      <c r="B39" s="1">
        <v>1010</v>
      </c>
      <c r="D39" s="1" t="s">
        <v>348</v>
      </c>
      <c r="E39" s="1" t="s">
        <v>465</v>
      </c>
      <c r="F39" s="1" t="s">
        <v>466</v>
      </c>
      <c r="G39" s="1" t="s">
        <v>378</v>
      </c>
      <c r="J39" s="1" t="s">
        <v>87</v>
      </c>
      <c r="K39" s="31">
        <v>46076</v>
      </c>
      <c r="L39" s="31">
        <v>46076</v>
      </c>
      <c r="P39" s="1" t="s">
        <v>379</v>
      </c>
      <c r="Q39" s="1" t="s">
        <v>379</v>
      </c>
      <c r="S39" s="1" t="s">
        <v>380</v>
      </c>
      <c r="T39" s="1">
        <v>7155</v>
      </c>
      <c r="U39" s="1" t="s">
        <v>381</v>
      </c>
      <c r="AA39" s="1" t="s">
        <v>5</v>
      </c>
      <c r="AC39" s="1">
        <v>1010</v>
      </c>
      <c r="AD39" s="31">
        <v>46221</v>
      </c>
      <c r="AE39" s="31">
        <v>46161</v>
      </c>
      <c r="AF39" s="1">
        <v>102</v>
      </c>
      <c r="AG39" s="1">
        <v>102</v>
      </c>
      <c r="AH39" s="1" t="s">
        <v>382</v>
      </c>
      <c r="AI39" s="1" t="b">
        <v>0</v>
      </c>
      <c r="AJ39" s="1" t="s">
        <v>467</v>
      </c>
      <c r="AK39" s="1" t="str">
        <f>IF(ISBLANK(SharePointTasks[[#This Row],[Operational ActionId]]), SharePointTasks[[#This Row],[Title]], SharePointTasks[[#This Row],[Title]] &amp; " (" &amp; VLOOKUP(SharePointTasks[[#This Row],[Operational ActionId]], Operational_Actions[], 6, FALSE) &amp; ")")</f>
        <v>Scouting Essentials (Online)</v>
      </c>
      <c r="AM39" s="1" t="str">
        <v>Scouting Essentials (Online)</v>
      </c>
    </row>
    <row r="40" spans="1:39" x14ac:dyDescent="0.2">
      <c r="A40" s="1">
        <v>0</v>
      </c>
      <c r="B40" s="1">
        <v>1061</v>
      </c>
      <c r="D40" s="1" t="s">
        <v>348</v>
      </c>
      <c r="E40" s="1" t="s">
        <v>465</v>
      </c>
      <c r="F40" s="1" t="s">
        <v>466</v>
      </c>
      <c r="G40" s="1" t="s">
        <v>378</v>
      </c>
      <c r="J40" s="1" t="s">
        <v>87</v>
      </c>
      <c r="K40" s="31">
        <v>46076</v>
      </c>
      <c r="L40" s="31">
        <v>46076</v>
      </c>
      <c r="P40" s="1" t="s">
        <v>379</v>
      </c>
      <c r="Q40" s="1" t="s">
        <v>379</v>
      </c>
      <c r="S40" s="1" t="s">
        <v>469</v>
      </c>
      <c r="T40" s="1">
        <v>7479</v>
      </c>
      <c r="U40" s="1" t="s">
        <v>381</v>
      </c>
      <c r="AA40" s="1" t="s">
        <v>5</v>
      </c>
      <c r="AC40" s="1">
        <v>1061</v>
      </c>
      <c r="AD40" s="31">
        <v>46221</v>
      </c>
      <c r="AE40" s="31">
        <v>46161</v>
      </c>
      <c r="AF40" s="1">
        <v>102</v>
      </c>
      <c r="AG40" s="1">
        <v>102</v>
      </c>
      <c r="AH40" s="1" t="s">
        <v>382</v>
      </c>
      <c r="AI40" s="1" t="b">
        <v>0</v>
      </c>
      <c r="AJ40" s="1" t="s">
        <v>470</v>
      </c>
      <c r="AK40" s="1" t="str">
        <f>IF(ISBLANK(SharePointTasks[[#This Row],[Operational ActionId]]), SharePointTasks[[#This Row],[Title]], SharePointTasks[[#This Row],[Title]] &amp; " (" &amp; VLOOKUP(SharePointTasks[[#This Row],[Operational ActionId]], Operational_Actions[], 6, FALSE) &amp; ")")</f>
        <v>Scouting Essentials (Online)</v>
      </c>
      <c r="AM40" s="1" t="str">
        <v>Scouting Essentials (Online)</v>
      </c>
    </row>
    <row r="41" spans="1:39" x14ac:dyDescent="0.2">
      <c r="A41" s="1">
        <v>0</v>
      </c>
      <c r="B41" s="1">
        <v>1141</v>
      </c>
      <c r="D41" s="1" t="s">
        <v>348</v>
      </c>
      <c r="E41" s="1" t="s">
        <v>465</v>
      </c>
      <c r="F41" s="1" t="s">
        <v>466</v>
      </c>
      <c r="G41" s="1" t="s">
        <v>378</v>
      </c>
      <c r="J41" s="1" t="s">
        <v>87</v>
      </c>
      <c r="K41" s="31">
        <v>46076</v>
      </c>
      <c r="L41" s="31">
        <v>46076</v>
      </c>
      <c r="P41" s="1" t="s">
        <v>379</v>
      </c>
      <c r="Q41" s="1" t="s">
        <v>379</v>
      </c>
      <c r="S41" s="1" t="s">
        <v>380</v>
      </c>
      <c r="T41" s="1">
        <v>7715</v>
      </c>
      <c r="U41" s="1" t="s">
        <v>381</v>
      </c>
      <c r="AA41" s="1" t="s">
        <v>5</v>
      </c>
      <c r="AC41" s="1">
        <v>1141</v>
      </c>
      <c r="AD41" s="31">
        <v>46221</v>
      </c>
      <c r="AE41" s="31">
        <v>46161</v>
      </c>
      <c r="AF41" s="1">
        <v>102</v>
      </c>
      <c r="AG41" s="1">
        <v>102</v>
      </c>
      <c r="AH41" s="1" t="s">
        <v>382</v>
      </c>
      <c r="AI41" s="1" t="b">
        <v>0</v>
      </c>
      <c r="AJ41" s="1" t="s">
        <v>471</v>
      </c>
      <c r="AK41" s="1" t="str">
        <f>IF(ISBLANK(SharePointTasks[[#This Row],[Operational ActionId]]), SharePointTasks[[#This Row],[Title]], SharePointTasks[[#This Row],[Title]] &amp; " (" &amp; VLOOKUP(SharePointTasks[[#This Row],[Operational ActionId]], Operational_Actions[], 6, FALSE) &amp; ")")</f>
        <v>Scouting Essentials (Online)</v>
      </c>
      <c r="AM41" s="1" t="str">
        <v>Scouting Essentials (Online)</v>
      </c>
    </row>
    <row r="42" spans="1:39" x14ac:dyDescent="0.2">
      <c r="A42" s="1">
        <v>0</v>
      </c>
      <c r="B42" s="1">
        <v>894</v>
      </c>
      <c r="D42" s="1" t="s">
        <v>348</v>
      </c>
      <c r="E42" s="1" t="s">
        <v>472</v>
      </c>
      <c r="F42" s="1" t="s">
        <v>416</v>
      </c>
      <c r="G42" s="1" t="s">
        <v>378</v>
      </c>
      <c r="J42" s="1" t="s">
        <v>87</v>
      </c>
      <c r="K42" s="31">
        <v>46079</v>
      </c>
      <c r="L42" s="31">
        <v>46081</v>
      </c>
      <c r="P42" s="1" t="s">
        <v>379</v>
      </c>
      <c r="Q42" s="1" t="s">
        <v>379</v>
      </c>
      <c r="S42" s="1" t="s">
        <v>407</v>
      </c>
      <c r="T42" s="1">
        <v>5683</v>
      </c>
      <c r="U42" s="1" t="s">
        <v>381</v>
      </c>
      <c r="AA42" s="1" t="s">
        <v>5</v>
      </c>
      <c r="AC42" s="1">
        <v>894</v>
      </c>
      <c r="AD42" s="31">
        <v>46221</v>
      </c>
      <c r="AE42" s="31">
        <v>46161</v>
      </c>
      <c r="AF42" s="1">
        <v>102</v>
      </c>
      <c r="AG42" s="1">
        <v>102</v>
      </c>
      <c r="AH42" s="1" t="s">
        <v>382</v>
      </c>
      <c r="AI42" s="1" t="b">
        <v>0</v>
      </c>
      <c r="AJ42" s="1" t="s">
        <v>473</v>
      </c>
      <c r="AK42" s="1" t="str">
        <f>IF(ISBLANK(SharePointTasks[[#This Row],[Operational ActionId]]), SharePointTasks[[#This Row],[Title]], SharePointTasks[[#This Row],[Title]] &amp; " (" &amp; VLOOKUP(SharePointTasks[[#This Row],[Operational ActionId]], Operational_Actions[], 6, FALSE) &amp; ")")</f>
        <v>Queensland Rover Moot (Q Moot)</v>
      </c>
      <c r="AM42" s="1" t="str">
        <v>Queensland Rover Moot (Q Moot)</v>
      </c>
    </row>
    <row r="43" spans="1:39" x14ac:dyDescent="0.2">
      <c r="A43" s="1">
        <v>0</v>
      </c>
      <c r="B43" s="1">
        <v>1011</v>
      </c>
      <c r="D43" s="1" t="s">
        <v>348</v>
      </c>
      <c r="E43" s="1" t="s">
        <v>482</v>
      </c>
      <c r="F43" s="1" t="s">
        <v>483</v>
      </c>
      <c r="G43" s="1" t="s">
        <v>378</v>
      </c>
      <c r="J43" s="1" t="s">
        <v>87</v>
      </c>
      <c r="K43" s="31">
        <v>46080</v>
      </c>
      <c r="L43" s="31">
        <v>46081</v>
      </c>
      <c r="P43" s="1" t="s">
        <v>379</v>
      </c>
      <c r="Q43" s="1" t="s">
        <v>379</v>
      </c>
      <c r="S43" s="1" t="s">
        <v>380</v>
      </c>
      <c r="T43" s="1">
        <v>7156</v>
      </c>
      <c r="U43" s="1" t="s">
        <v>381</v>
      </c>
      <c r="AA43" s="1" t="s">
        <v>5</v>
      </c>
      <c r="AC43" s="1">
        <v>1011</v>
      </c>
      <c r="AD43" s="31">
        <v>46221</v>
      </c>
      <c r="AE43" s="31">
        <v>46161</v>
      </c>
      <c r="AF43" s="1">
        <v>102</v>
      </c>
      <c r="AG43" s="1">
        <v>102</v>
      </c>
      <c r="AH43" s="1" t="s">
        <v>382</v>
      </c>
      <c r="AI43" s="1" t="b">
        <v>0</v>
      </c>
      <c r="AJ43" s="1" t="s">
        <v>484</v>
      </c>
      <c r="AK43" s="1" t="str">
        <f>IF(ISBLANK(SharePointTasks[[#This Row],[Operational ActionId]]), SharePointTasks[[#This Row],[Title]], SharePointTasks[[#This Row],[Title]] &amp; " (" &amp; VLOOKUP(SharePointTasks[[#This Row],[Operational ActionId]], Operational_Actions[], 6, FALSE) &amp; ")")</f>
        <v>Scouting Adventure (Townsville)</v>
      </c>
      <c r="AM43" s="1" t="str">
        <v>Scouting Adventure (Townsville)</v>
      </c>
    </row>
    <row r="44" spans="1:39" x14ac:dyDescent="0.2">
      <c r="A44" s="1">
        <v>0</v>
      </c>
      <c r="B44" s="1">
        <v>1012</v>
      </c>
      <c r="D44" s="1" t="s">
        <v>348</v>
      </c>
      <c r="E44" s="1" t="s">
        <v>395</v>
      </c>
      <c r="F44" s="1" t="s">
        <v>396</v>
      </c>
      <c r="G44" s="1" t="s">
        <v>378</v>
      </c>
      <c r="J44" s="1" t="s">
        <v>87</v>
      </c>
      <c r="K44" s="31">
        <v>46080</v>
      </c>
      <c r="L44" s="31">
        <v>46080</v>
      </c>
      <c r="P44" s="1" t="s">
        <v>379</v>
      </c>
      <c r="Q44" s="1" t="s">
        <v>379</v>
      </c>
      <c r="S44" s="1" t="s">
        <v>380</v>
      </c>
      <c r="T44" s="1">
        <v>7157</v>
      </c>
      <c r="U44" s="1" t="s">
        <v>381</v>
      </c>
      <c r="AA44" s="1" t="s">
        <v>5</v>
      </c>
      <c r="AC44" s="1">
        <v>1012</v>
      </c>
      <c r="AD44" s="31">
        <v>46221</v>
      </c>
      <c r="AE44" s="31">
        <v>46161</v>
      </c>
      <c r="AF44" s="1">
        <v>102</v>
      </c>
      <c r="AG44" s="1">
        <v>102</v>
      </c>
      <c r="AH44" s="1" t="s">
        <v>382</v>
      </c>
      <c r="AI44" s="1" t="b">
        <v>0</v>
      </c>
      <c r="AJ44" s="1" t="s">
        <v>478</v>
      </c>
      <c r="AK44" s="1" t="str">
        <f>IF(ISBLANK(SharePointTasks[[#This Row],[Operational ActionId]]), SharePointTasks[[#This Row],[Title]], SharePointTasks[[#This Row],[Title]] &amp; " (" &amp; VLOOKUP(SharePointTasks[[#This Row],[Operational ActionId]], Operational_Actions[], 6, FALSE) &amp; ")")</f>
        <v>Paddling - Kayak Inland Flatwater TP (Wide Bay)</v>
      </c>
      <c r="AM44" s="1" t="str">
        <v>Paddling - Kayak Inland Flatwater TP (Wide Bay)</v>
      </c>
    </row>
    <row r="45" spans="1:39" x14ac:dyDescent="0.2">
      <c r="A45" s="1">
        <v>0</v>
      </c>
      <c r="B45" s="1">
        <v>1013</v>
      </c>
      <c r="D45" s="1" t="s">
        <v>348</v>
      </c>
      <c r="E45" s="1" t="s">
        <v>474</v>
      </c>
      <c r="F45" s="1" t="s">
        <v>475</v>
      </c>
      <c r="G45" s="1" t="s">
        <v>378</v>
      </c>
      <c r="J45" s="1" t="s">
        <v>87</v>
      </c>
      <c r="K45" s="31">
        <v>46080</v>
      </c>
      <c r="L45" s="31">
        <v>46080</v>
      </c>
      <c r="P45" s="1" t="s">
        <v>379</v>
      </c>
      <c r="Q45" s="1" t="s">
        <v>379</v>
      </c>
      <c r="T45" s="1">
        <v>7158</v>
      </c>
      <c r="U45" s="1" t="s">
        <v>381</v>
      </c>
      <c r="AA45" s="1" t="s">
        <v>5</v>
      </c>
      <c r="AC45" s="1">
        <v>1013</v>
      </c>
      <c r="AD45" s="31">
        <v>46221</v>
      </c>
      <c r="AE45" s="31">
        <v>46161</v>
      </c>
      <c r="AF45" s="1">
        <v>102</v>
      </c>
      <c r="AG45" s="1">
        <v>102</v>
      </c>
      <c r="AH45" s="1" t="s">
        <v>382</v>
      </c>
      <c r="AI45" s="1" t="b">
        <v>0</v>
      </c>
      <c r="AJ45" s="1" t="s">
        <v>477</v>
      </c>
      <c r="AK45" s="1" t="str">
        <f>IF(ISBLANK(SharePointTasks[[#This Row],[Operational ActionId]]), SharePointTasks[[#This Row],[Title]], SharePointTasks[[#This Row],[Title]] &amp; " (" &amp; VLOOKUP(SharePointTasks[[#This Row],[Operational ActionId]], Operational_Actions[], 6, FALSE) &amp; ")")</f>
        <v>Paddling - Canoe/Kayak Inland Flatwater SP</v>
      </c>
      <c r="AM45" s="1" t="str">
        <v>Paddling - Canoe/Kayak Inland Flatwater SP</v>
      </c>
    </row>
    <row r="46" spans="1:39" x14ac:dyDescent="0.2">
      <c r="A46" s="1">
        <v>0</v>
      </c>
      <c r="B46" s="1">
        <v>1014</v>
      </c>
      <c r="D46" s="1" t="s">
        <v>348</v>
      </c>
      <c r="E46" s="1" t="s">
        <v>474</v>
      </c>
      <c r="F46" s="1" t="s">
        <v>479</v>
      </c>
      <c r="G46" s="1" t="s">
        <v>378</v>
      </c>
      <c r="J46" s="1" t="s">
        <v>87</v>
      </c>
      <c r="K46" s="31">
        <v>46080</v>
      </c>
      <c r="L46" s="31">
        <v>46080</v>
      </c>
      <c r="P46" s="1" t="s">
        <v>379</v>
      </c>
      <c r="Q46" s="1" t="s">
        <v>379</v>
      </c>
      <c r="S46" s="1" t="s">
        <v>380</v>
      </c>
      <c r="T46" s="1">
        <v>7159</v>
      </c>
      <c r="U46" s="1" t="s">
        <v>381</v>
      </c>
      <c r="AA46" s="1" t="s">
        <v>5</v>
      </c>
      <c r="AC46" s="1">
        <v>1014</v>
      </c>
      <c r="AD46" s="31">
        <v>46221</v>
      </c>
      <c r="AE46" s="31">
        <v>46161</v>
      </c>
      <c r="AF46" s="1">
        <v>102</v>
      </c>
      <c r="AG46" s="1">
        <v>102</v>
      </c>
      <c r="AH46" s="1" t="s">
        <v>382</v>
      </c>
      <c r="AI46" s="1" t="b">
        <v>0</v>
      </c>
      <c r="AJ46" s="1" t="s">
        <v>480</v>
      </c>
      <c r="AK46" s="1" t="str">
        <f>IF(ISBLANK(SharePointTasks[[#This Row],[Operational ActionId]]), SharePointTasks[[#This Row],[Title]], SharePointTasks[[#This Row],[Title]] &amp; " (" &amp; VLOOKUP(SharePointTasks[[#This Row],[Operational ActionId]], Operational_Actions[], 6, FALSE) &amp; ")")</f>
        <v>Paddling - Canoe/Kayak Inland Flatwater SP</v>
      </c>
      <c r="AM46" s="1" t="str">
        <v>Paddling - Canoe/Kayak Inland Flatwater SP</v>
      </c>
    </row>
    <row r="47" spans="1:39" x14ac:dyDescent="0.2">
      <c r="A47" s="1">
        <v>0</v>
      </c>
      <c r="B47" s="1">
        <v>1062</v>
      </c>
      <c r="D47" s="1" t="s">
        <v>348</v>
      </c>
      <c r="E47" s="1" t="s">
        <v>474</v>
      </c>
      <c r="F47" s="1" t="s">
        <v>475</v>
      </c>
      <c r="G47" s="1" t="s">
        <v>378</v>
      </c>
      <c r="J47" s="1" t="s">
        <v>87</v>
      </c>
      <c r="K47" s="31">
        <v>46080</v>
      </c>
      <c r="L47" s="31">
        <v>46080</v>
      </c>
      <c r="P47" s="1" t="s">
        <v>379</v>
      </c>
      <c r="Q47" s="1" t="s">
        <v>379</v>
      </c>
      <c r="S47" s="1" t="s">
        <v>380</v>
      </c>
      <c r="T47" s="1">
        <v>7482</v>
      </c>
      <c r="U47" s="1" t="s">
        <v>381</v>
      </c>
      <c r="AA47" s="1" t="s">
        <v>5</v>
      </c>
      <c r="AC47" s="1">
        <v>1062</v>
      </c>
      <c r="AD47" s="31">
        <v>46221</v>
      </c>
      <c r="AE47" s="31">
        <v>46161</v>
      </c>
      <c r="AF47" s="1">
        <v>102</v>
      </c>
      <c r="AG47" s="1">
        <v>102</v>
      </c>
      <c r="AH47" s="1" t="s">
        <v>382</v>
      </c>
      <c r="AI47" s="1" t="b">
        <v>0</v>
      </c>
      <c r="AJ47" s="1" t="s">
        <v>476</v>
      </c>
      <c r="AK47" s="1" t="str">
        <f>IF(ISBLANK(SharePointTasks[[#This Row],[Operational ActionId]]), SharePointTasks[[#This Row],[Title]], SharePointTasks[[#This Row],[Title]] &amp; " (" &amp; VLOOKUP(SharePointTasks[[#This Row],[Operational ActionId]], Operational_Actions[], 6, FALSE) &amp; ")")</f>
        <v>Paddling - Canoe/Kayak Inland Flatwater SP</v>
      </c>
      <c r="AM47" s="1" t="str">
        <v>Paddling - Canoe/Kayak Inland Flatwater SP</v>
      </c>
    </row>
    <row r="48" spans="1:39" x14ac:dyDescent="0.2">
      <c r="A48" s="1">
        <v>0</v>
      </c>
      <c r="B48" s="1">
        <v>1063</v>
      </c>
      <c r="D48" s="1" t="s">
        <v>348</v>
      </c>
      <c r="E48" s="1" t="s">
        <v>474</v>
      </c>
      <c r="F48" s="1" t="s">
        <v>479</v>
      </c>
      <c r="G48" s="1" t="s">
        <v>378</v>
      </c>
      <c r="J48" s="1" t="s">
        <v>87</v>
      </c>
      <c r="K48" s="31">
        <v>46080</v>
      </c>
      <c r="L48" s="31">
        <v>46080</v>
      </c>
      <c r="P48" s="1" t="s">
        <v>379</v>
      </c>
      <c r="Q48" s="1" t="s">
        <v>379</v>
      </c>
      <c r="S48" s="1" t="s">
        <v>380</v>
      </c>
      <c r="T48" s="1">
        <v>7483</v>
      </c>
      <c r="U48" s="1" t="s">
        <v>381</v>
      </c>
      <c r="AA48" s="1" t="s">
        <v>5</v>
      </c>
      <c r="AC48" s="1">
        <v>1063</v>
      </c>
      <c r="AD48" s="31">
        <v>46221</v>
      </c>
      <c r="AE48" s="31">
        <v>46161</v>
      </c>
      <c r="AF48" s="1">
        <v>102</v>
      </c>
      <c r="AG48" s="1">
        <v>102</v>
      </c>
      <c r="AH48" s="1" t="s">
        <v>382</v>
      </c>
      <c r="AI48" s="1" t="b">
        <v>0</v>
      </c>
      <c r="AJ48" s="1" t="s">
        <v>481</v>
      </c>
      <c r="AK48" s="1" t="str">
        <f>IF(ISBLANK(SharePointTasks[[#This Row],[Operational ActionId]]), SharePointTasks[[#This Row],[Title]], SharePointTasks[[#This Row],[Title]] &amp; " (" &amp; VLOOKUP(SharePointTasks[[#This Row],[Operational ActionId]], Operational_Actions[], 6, FALSE) &amp; ")")</f>
        <v>Paddling - Canoe/Kayak Inland Flatwater SP</v>
      </c>
      <c r="AM48" s="1" t="str">
        <v>Paddling - Canoe/Kayak Inland Flatwater SP</v>
      </c>
    </row>
    <row r="49" spans="1:39" x14ac:dyDescent="0.2">
      <c r="A49" s="1">
        <v>0</v>
      </c>
      <c r="B49" s="1">
        <v>1073</v>
      </c>
      <c r="D49" s="1" t="s">
        <v>348</v>
      </c>
      <c r="E49" s="1" t="s">
        <v>398</v>
      </c>
      <c r="F49" s="1" t="s">
        <v>399</v>
      </c>
      <c r="G49" s="1" t="s">
        <v>378</v>
      </c>
      <c r="J49" s="1" t="s">
        <v>87</v>
      </c>
      <c r="K49" s="31">
        <v>46081</v>
      </c>
      <c r="L49" s="31">
        <v>46081</v>
      </c>
      <c r="P49" s="1" t="s">
        <v>379</v>
      </c>
      <c r="Q49" s="1" t="s">
        <v>379</v>
      </c>
      <c r="S49" s="1" t="s">
        <v>380</v>
      </c>
      <c r="T49" s="1">
        <v>7545</v>
      </c>
      <c r="U49" s="1" t="s">
        <v>381</v>
      </c>
      <c r="AA49" s="1" t="s">
        <v>5</v>
      </c>
      <c r="AC49" s="1">
        <v>1073</v>
      </c>
      <c r="AD49" s="31">
        <v>46221</v>
      </c>
      <c r="AE49" s="31">
        <v>46161</v>
      </c>
      <c r="AF49" s="1">
        <v>102</v>
      </c>
      <c r="AG49" s="1">
        <v>102</v>
      </c>
      <c r="AH49" s="1" t="s">
        <v>382</v>
      </c>
      <c r="AI49" s="1" t="b">
        <v>0</v>
      </c>
      <c r="AJ49" s="1" t="s">
        <v>485</v>
      </c>
      <c r="AK49" s="1" t="str">
        <f>IF(ISBLANK(SharePointTasks[[#This Row],[Operational ActionId]]), SharePointTasks[[#This Row],[Title]], SharePointTasks[[#This Row],[Title]] &amp; " (" &amp; VLOOKUP(SharePointTasks[[#This Row],[Operational ActionId]], Operational_Actions[], 6, FALSE) &amp; ")")</f>
        <v>Paddling - SUP Inland Flatwater SP</v>
      </c>
      <c r="AM49" s="1" t="str">
        <v>Paddling - SUP Inland Flatwater SP</v>
      </c>
    </row>
    <row r="50" spans="1:39" x14ac:dyDescent="0.2">
      <c r="A50" s="1">
        <v>0</v>
      </c>
      <c r="B50" s="1">
        <v>909</v>
      </c>
      <c r="D50" s="1" t="s">
        <v>348</v>
      </c>
      <c r="E50" s="1" t="s">
        <v>489</v>
      </c>
      <c r="F50" s="1" t="s">
        <v>490</v>
      </c>
      <c r="G50" s="1" t="s">
        <v>378</v>
      </c>
      <c r="J50" s="1" t="s">
        <v>87</v>
      </c>
      <c r="K50" s="31">
        <v>46086</v>
      </c>
      <c r="L50" s="31">
        <v>46088</v>
      </c>
      <c r="P50" s="1" t="s">
        <v>379</v>
      </c>
      <c r="Q50" s="1" t="s">
        <v>379</v>
      </c>
      <c r="T50" s="1">
        <v>5698</v>
      </c>
      <c r="U50" s="1" t="s">
        <v>381</v>
      </c>
      <c r="AA50" s="1" t="s">
        <v>5</v>
      </c>
      <c r="AC50" s="1">
        <v>909</v>
      </c>
      <c r="AD50" s="31">
        <v>46221</v>
      </c>
      <c r="AE50" s="31">
        <v>46161</v>
      </c>
      <c r="AF50" s="1">
        <v>102</v>
      </c>
      <c r="AG50" s="1">
        <v>102</v>
      </c>
      <c r="AH50" s="1" t="s">
        <v>382</v>
      </c>
      <c r="AI50" s="1" t="b">
        <v>0</v>
      </c>
      <c r="AJ50" s="1" t="s">
        <v>491</v>
      </c>
      <c r="AK50" s="1" t="str">
        <f>IF(ISBLANK(SharePointTasks[[#This Row],[Operational ActionId]]), SharePointTasks[[#This Row],[Title]], SharePointTasks[[#This Row],[Title]] &amp; " (" &amp; VLOOKUP(SharePointTasks[[#This Row],[Operational ActionId]], Operational_Actions[], 6, FALSE) &amp; ")")</f>
        <v>Region Commissioners Conference</v>
      </c>
      <c r="AM50" s="1" t="str">
        <v>Region Commissioners Conference</v>
      </c>
    </row>
    <row r="51" spans="1:39" x14ac:dyDescent="0.2">
      <c r="A51" s="1">
        <v>0</v>
      </c>
      <c r="B51" s="1">
        <v>1074</v>
      </c>
      <c r="D51" s="1" t="s">
        <v>348</v>
      </c>
      <c r="E51" s="1" t="s">
        <v>486</v>
      </c>
      <c r="F51" s="1" t="s">
        <v>487</v>
      </c>
      <c r="G51" s="1" t="s">
        <v>378</v>
      </c>
      <c r="J51" s="1" t="s">
        <v>87</v>
      </c>
      <c r="K51" s="31">
        <v>46086</v>
      </c>
      <c r="L51" s="31">
        <v>46088</v>
      </c>
      <c r="P51" s="1" t="s">
        <v>379</v>
      </c>
      <c r="Q51" s="1" t="s">
        <v>379</v>
      </c>
      <c r="S51" s="1" t="s">
        <v>380</v>
      </c>
      <c r="T51" s="1">
        <v>7546</v>
      </c>
      <c r="U51" s="1" t="s">
        <v>381</v>
      </c>
      <c r="AA51" s="1" t="s">
        <v>5</v>
      </c>
      <c r="AC51" s="1">
        <v>1074</v>
      </c>
      <c r="AD51" s="31">
        <v>46221</v>
      </c>
      <c r="AE51" s="31">
        <v>46161</v>
      </c>
      <c r="AF51" s="1">
        <v>102</v>
      </c>
      <c r="AG51" s="1">
        <v>102</v>
      </c>
      <c r="AH51" s="1" t="s">
        <v>382</v>
      </c>
      <c r="AI51" s="1" t="b">
        <v>0</v>
      </c>
      <c r="AJ51" s="1" t="s">
        <v>488</v>
      </c>
      <c r="AK51" s="1" t="str">
        <f>IF(ISBLANK(SharePointTasks[[#This Row],[Operational ActionId]]), SharePointTasks[[#This Row],[Title]], SharePointTasks[[#This Row],[Title]] &amp; " (" &amp; VLOOKUP(SharePointTasks[[#This Row],[Operational ActionId]], Operational_Actions[], 6, FALSE) &amp; ")")</f>
        <v>Scouting Leadership (Rockhampton)</v>
      </c>
      <c r="AM51" s="1" t="str">
        <v>Scouting Leadership (Rockhampton)</v>
      </c>
    </row>
    <row r="52" spans="1:39" x14ac:dyDescent="0.2">
      <c r="A52" s="1">
        <v>0</v>
      </c>
      <c r="B52" s="1">
        <v>1075</v>
      </c>
      <c r="D52" s="1" t="s">
        <v>348</v>
      </c>
      <c r="E52" s="1" t="s">
        <v>495</v>
      </c>
      <c r="F52" s="1" t="s">
        <v>496</v>
      </c>
      <c r="G52" s="1" t="s">
        <v>378</v>
      </c>
      <c r="J52" s="1" t="s">
        <v>87</v>
      </c>
      <c r="K52" s="31">
        <v>46087</v>
      </c>
      <c r="L52" s="31">
        <v>46088</v>
      </c>
      <c r="P52" s="1" t="s">
        <v>379</v>
      </c>
      <c r="Q52" s="1" t="s">
        <v>379</v>
      </c>
      <c r="S52" s="1" t="s">
        <v>380</v>
      </c>
      <c r="T52" s="1">
        <v>7553</v>
      </c>
      <c r="U52" s="1" t="s">
        <v>381</v>
      </c>
      <c r="AA52" s="1" t="s">
        <v>5</v>
      </c>
      <c r="AC52" s="1">
        <v>1075</v>
      </c>
      <c r="AD52" s="31">
        <v>46221</v>
      </c>
      <c r="AE52" s="31">
        <v>46161</v>
      </c>
      <c r="AF52" s="1">
        <v>102</v>
      </c>
      <c r="AG52" s="1">
        <v>102</v>
      </c>
      <c r="AH52" s="1" t="s">
        <v>382</v>
      </c>
      <c r="AI52" s="1" t="b">
        <v>0</v>
      </c>
      <c r="AJ52" s="1" t="s">
        <v>497</v>
      </c>
      <c r="AK52" s="1" t="str">
        <f>IF(ISBLANK(SharePointTasks[[#This Row],[Operational ActionId]]), SharePointTasks[[#This Row],[Title]], SharePointTasks[[#This Row],[Title]] &amp; " (" &amp; VLOOKUP(SharePointTasks[[#This Row],[Operational ActionId]], Operational_Actions[], 6, FALSE) &amp; ")")</f>
        <v>Snorkelling - SP/Guide (Sunshine Coast)</v>
      </c>
      <c r="AM52" s="1" t="str">
        <v>Snorkelling - SP/Guide (Sunshine Coast)</v>
      </c>
    </row>
    <row r="53" spans="1:39" x14ac:dyDescent="0.2">
      <c r="A53" s="1">
        <v>0</v>
      </c>
      <c r="B53" s="1">
        <v>1076</v>
      </c>
      <c r="D53" s="1" t="s">
        <v>348</v>
      </c>
      <c r="E53" s="1" t="s">
        <v>492</v>
      </c>
      <c r="F53" s="1" t="s">
        <v>493</v>
      </c>
      <c r="G53" s="1" t="s">
        <v>378</v>
      </c>
      <c r="J53" s="1" t="s">
        <v>87</v>
      </c>
      <c r="K53" s="31">
        <v>46087</v>
      </c>
      <c r="L53" s="31">
        <v>46087</v>
      </c>
      <c r="P53" s="1" t="s">
        <v>379</v>
      </c>
      <c r="Q53" s="1" t="s">
        <v>379</v>
      </c>
      <c r="S53" s="1" t="s">
        <v>380</v>
      </c>
      <c r="T53" s="1">
        <v>7554</v>
      </c>
      <c r="U53" s="1" t="s">
        <v>381</v>
      </c>
      <c r="AA53" s="1" t="s">
        <v>5</v>
      </c>
      <c r="AC53" s="1">
        <v>1076</v>
      </c>
      <c r="AD53" s="31">
        <v>46221</v>
      </c>
      <c r="AE53" s="31">
        <v>46161</v>
      </c>
      <c r="AF53" s="1">
        <v>102</v>
      </c>
      <c r="AG53" s="1">
        <v>102</v>
      </c>
      <c r="AH53" s="1" t="s">
        <v>382</v>
      </c>
      <c r="AI53" s="1" t="b">
        <v>0</v>
      </c>
      <c r="AJ53" s="1" t="s">
        <v>494</v>
      </c>
      <c r="AK53" s="1" t="str">
        <f>IF(ISBLANK(SharePointTasks[[#This Row],[Operational ActionId]]), SharePointTasks[[#This Row],[Title]], SharePointTasks[[#This Row],[Title]] &amp; " (" &amp; VLOOKUP(SharePointTasks[[#This Row],[Operational ActionId]], Operational_Actions[], 6, FALSE) &amp; ")")</f>
        <v>Basic Water Rescue (FNR)</v>
      </c>
      <c r="AM53" s="1" t="str">
        <v>Basic Water Rescue (FNR)</v>
      </c>
    </row>
    <row r="54" spans="1:39" x14ac:dyDescent="0.2">
      <c r="A54" s="1">
        <v>0</v>
      </c>
      <c r="B54" s="1">
        <v>1077</v>
      </c>
      <c r="D54" s="1" t="s">
        <v>348</v>
      </c>
      <c r="E54" s="1" t="s">
        <v>498</v>
      </c>
      <c r="F54" s="1" t="s">
        <v>499</v>
      </c>
      <c r="G54" s="1" t="s">
        <v>378</v>
      </c>
      <c r="J54" s="1" t="s">
        <v>87</v>
      </c>
      <c r="K54" s="31">
        <v>46091</v>
      </c>
      <c r="L54" s="31">
        <v>46091</v>
      </c>
      <c r="P54" s="1" t="s">
        <v>379</v>
      </c>
      <c r="Q54" s="1" t="s">
        <v>379</v>
      </c>
      <c r="S54" s="1" t="s">
        <v>380</v>
      </c>
      <c r="T54" s="1">
        <v>7555</v>
      </c>
      <c r="U54" s="1" t="s">
        <v>381</v>
      </c>
      <c r="AA54" s="1" t="s">
        <v>5</v>
      </c>
      <c r="AC54" s="1">
        <v>1077</v>
      </c>
      <c r="AD54" s="31">
        <v>46221</v>
      </c>
      <c r="AE54" s="31">
        <v>46161</v>
      </c>
      <c r="AF54" s="1">
        <v>102</v>
      </c>
      <c r="AG54" s="1">
        <v>102</v>
      </c>
      <c r="AH54" s="1" t="s">
        <v>382</v>
      </c>
      <c r="AI54" s="1" t="b">
        <v>0</v>
      </c>
      <c r="AJ54" s="1" t="s">
        <v>501</v>
      </c>
      <c r="AK54" s="1" t="str">
        <f>IF(ISBLANK(SharePointTasks[[#This Row],[Operational ActionId]]), SharePointTasks[[#This Row],[Title]], SharePointTasks[[#This Row],[Title]] &amp; " (" &amp; VLOOKUP(SharePointTasks[[#This Row],[Operational ActionId]], Operational_Actions[], 6, FALSE) &amp; ")")</f>
        <v>Scouting Management - Group Leaders (Online)</v>
      </c>
      <c r="AM54" s="1" t="str">
        <v>Scouting Management - Group Leaders (Online)</v>
      </c>
    </row>
    <row r="55" spans="1:39" x14ac:dyDescent="0.2">
      <c r="A55" s="1">
        <v>0</v>
      </c>
      <c r="B55" s="1">
        <v>1142</v>
      </c>
      <c r="D55" s="1" t="s">
        <v>348</v>
      </c>
      <c r="E55" s="1" t="s">
        <v>498</v>
      </c>
      <c r="F55" s="1" t="s">
        <v>499</v>
      </c>
      <c r="G55" s="1" t="s">
        <v>378</v>
      </c>
      <c r="J55" s="1" t="s">
        <v>87</v>
      </c>
      <c r="K55" s="31">
        <v>46091</v>
      </c>
      <c r="L55" s="31">
        <v>46112</v>
      </c>
      <c r="P55" s="1" t="s">
        <v>379</v>
      </c>
      <c r="Q55" s="1" t="s">
        <v>379</v>
      </c>
      <c r="T55" s="1">
        <v>7720</v>
      </c>
      <c r="U55" s="1" t="s">
        <v>381</v>
      </c>
      <c r="AA55" s="1" t="s">
        <v>5</v>
      </c>
      <c r="AC55" s="1">
        <v>1142</v>
      </c>
      <c r="AD55" s="31">
        <v>46221</v>
      </c>
      <c r="AE55" s="31">
        <v>46161</v>
      </c>
      <c r="AF55" s="1">
        <v>102</v>
      </c>
      <c r="AG55" s="1">
        <v>102</v>
      </c>
      <c r="AH55" s="1" t="s">
        <v>382</v>
      </c>
      <c r="AI55" s="1" t="b">
        <v>0</v>
      </c>
      <c r="AJ55" s="1" t="s">
        <v>500</v>
      </c>
      <c r="AK55" s="1" t="str">
        <f>IF(ISBLANK(SharePointTasks[[#This Row],[Operational ActionId]]), SharePointTasks[[#This Row],[Title]], SharePointTasks[[#This Row],[Title]] &amp; " (" &amp; VLOOKUP(SharePointTasks[[#This Row],[Operational ActionId]], Operational_Actions[], 6, FALSE) &amp; ")")</f>
        <v>Scouting Management - Group Leaders (Online)</v>
      </c>
      <c r="AM55" s="1" t="str">
        <v>Scouting Management - Group Leaders (Online)</v>
      </c>
    </row>
    <row r="56" spans="1:39" x14ac:dyDescent="0.2">
      <c r="A56" s="1">
        <v>0</v>
      </c>
      <c r="B56" s="1">
        <v>1064</v>
      </c>
      <c r="D56" s="1" t="s">
        <v>348</v>
      </c>
      <c r="E56" s="1" t="s">
        <v>508</v>
      </c>
      <c r="F56" s="1" t="s">
        <v>509</v>
      </c>
      <c r="G56" s="1" t="s">
        <v>378</v>
      </c>
      <c r="J56" s="1" t="s">
        <v>87</v>
      </c>
      <c r="K56" s="31">
        <v>46093</v>
      </c>
      <c r="L56" s="31">
        <v>46095</v>
      </c>
      <c r="P56" s="1" t="s">
        <v>379</v>
      </c>
      <c r="Q56" s="1" t="s">
        <v>379</v>
      </c>
      <c r="S56" s="1" t="s">
        <v>380</v>
      </c>
      <c r="T56" s="1">
        <v>7484</v>
      </c>
      <c r="U56" s="1" t="s">
        <v>381</v>
      </c>
      <c r="AA56" s="1" t="s">
        <v>5</v>
      </c>
      <c r="AC56" s="1">
        <v>1064</v>
      </c>
      <c r="AD56" s="31">
        <v>46221</v>
      </c>
      <c r="AE56" s="31">
        <v>46161</v>
      </c>
      <c r="AF56" s="1">
        <v>102</v>
      </c>
      <c r="AG56" s="1">
        <v>102</v>
      </c>
      <c r="AH56" s="1" t="s">
        <v>382</v>
      </c>
      <c r="AI56" s="1" t="b">
        <v>0</v>
      </c>
      <c r="AJ56" s="1" t="s">
        <v>510</v>
      </c>
      <c r="AK56" s="1" t="str">
        <f>IF(ISBLANK(SharePointTasks[[#This Row],[Operational ActionId]]), SharePointTasks[[#This Row],[Title]], SharePointTasks[[#This Row],[Title]] &amp; " (" &amp; VLOOKUP(SharePointTasks[[#This Row],[Operational ActionId]], Operational_Actions[], 6, FALSE) &amp; ")")</f>
        <v>Scouting Essentials (Emerald) Course</v>
      </c>
      <c r="AM56" s="1" t="str">
        <v>Scouting Essentials (Emerald) Course</v>
      </c>
    </row>
    <row r="57" spans="1:39" x14ac:dyDescent="0.2">
      <c r="A57" s="1">
        <v>0</v>
      </c>
      <c r="B57" s="1">
        <v>1065</v>
      </c>
      <c r="D57" s="1" t="s">
        <v>348</v>
      </c>
      <c r="E57" s="1" t="s">
        <v>505</v>
      </c>
      <c r="F57" s="1" t="s">
        <v>506</v>
      </c>
      <c r="G57" s="1" t="s">
        <v>378</v>
      </c>
      <c r="J57" s="1" t="s">
        <v>87</v>
      </c>
      <c r="K57" s="31">
        <v>46093</v>
      </c>
      <c r="L57" s="31">
        <v>46095</v>
      </c>
      <c r="P57" s="1" t="s">
        <v>379</v>
      </c>
      <c r="Q57" s="1" t="s">
        <v>379</v>
      </c>
      <c r="S57" s="1" t="s">
        <v>380</v>
      </c>
      <c r="T57" s="1">
        <v>7485</v>
      </c>
      <c r="U57" s="1" t="s">
        <v>381</v>
      </c>
      <c r="AA57" s="1" t="s">
        <v>5</v>
      </c>
      <c r="AC57" s="1">
        <v>1065</v>
      </c>
      <c r="AD57" s="31">
        <v>46221</v>
      </c>
      <c r="AE57" s="31">
        <v>46161</v>
      </c>
      <c r="AF57" s="1">
        <v>102</v>
      </c>
      <c r="AG57" s="1">
        <v>102</v>
      </c>
      <c r="AH57" s="1" t="s">
        <v>382</v>
      </c>
      <c r="AI57" s="1" t="b">
        <v>0</v>
      </c>
      <c r="AJ57" s="1" t="s">
        <v>507</v>
      </c>
      <c r="AK57" s="1" t="str">
        <f>IF(ISBLANK(SharePointTasks[[#This Row],[Operational ActionId]]), SharePointTasks[[#This Row],[Title]], SharePointTasks[[#This Row],[Title]] &amp; " (" &amp; VLOOKUP(SharePointTasks[[#This Row],[Operational ActionId]], Operational_Actions[], 6, FALSE) &amp; ")")</f>
        <v>Scouting Adventure (Mackay)</v>
      </c>
      <c r="AM57" s="1" t="str">
        <v>Scouting Adventure (Mackay)</v>
      </c>
    </row>
    <row r="58" spans="1:39" x14ac:dyDescent="0.2">
      <c r="A58" s="1">
        <v>0</v>
      </c>
      <c r="B58" s="1">
        <v>1066</v>
      </c>
      <c r="D58" s="1" t="s">
        <v>348</v>
      </c>
      <c r="E58" s="1" t="s">
        <v>502</v>
      </c>
      <c r="F58" s="1" t="s">
        <v>503</v>
      </c>
      <c r="G58" s="1" t="s">
        <v>378</v>
      </c>
      <c r="J58" s="1" t="s">
        <v>87</v>
      </c>
      <c r="K58" s="31">
        <v>46093</v>
      </c>
      <c r="L58" s="31">
        <v>46095</v>
      </c>
      <c r="P58" s="1" t="s">
        <v>379</v>
      </c>
      <c r="Q58" s="1" t="s">
        <v>379</v>
      </c>
      <c r="S58" s="1" t="s">
        <v>380</v>
      </c>
      <c r="T58" s="1">
        <v>7486</v>
      </c>
      <c r="U58" s="1" t="s">
        <v>381</v>
      </c>
      <c r="AA58" s="1" t="s">
        <v>5</v>
      </c>
      <c r="AC58" s="1">
        <v>1066</v>
      </c>
      <c r="AD58" s="31">
        <v>46221</v>
      </c>
      <c r="AE58" s="31">
        <v>46161</v>
      </c>
      <c r="AF58" s="1">
        <v>102</v>
      </c>
      <c r="AG58" s="1">
        <v>102</v>
      </c>
      <c r="AH58" s="1" t="s">
        <v>382</v>
      </c>
      <c r="AI58" s="1" t="b">
        <v>0</v>
      </c>
      <c r="AJ58" s="1" t="s">
        <v>504</v>
      </c>
      <c r="AK58" s="1" t="str">
        <f>IF(ISBLANK(SharePointTasks[[#This Row],[Operational ActionId]]), SharePointTasks[[#This Row],[Title]], SharePointTasks[[#This Row],[Title]] &amp; " (" &amp; VLOOKUP(SharePointTasks[[#This Row],[Operational ActionId]], Operational_Actions[], 6, FALSE) &amp; ")")</f>
        <v>Scouting Leadership (Brisbane)</v>
      </c>
      <c r="AM58" s="1" t="str">
        <v>Scouting Leadership (Brisbane)</v>
      </c>
    </row>
    <row r="59" spans="1:39" x14ac:dyDescent="0.2">
      <c r="A59" s="1">
        <v>0</v>
      </c>
      <c r="B59" s="1">
        <v>1067</v>
      </c>
      <c r="D59" s="1" t="s">
        <v>348</v>
      </c>
      <c r="E59" s="1" t="s">
        <v>511</v>
      </c>
      <c r="F59" s="1" t="s">
        <v>512</v>
      </c>
      <c r="G59" s="1" t="s">
        <v>378</v>
      </c>
      <c r="J59" s="1" t="s">
        <v>87</v>
      </c>
      <c r="K59" s="31">
        <v>46093</v>
      </c>
      <c r="L59" s="31">
        <v>46095</v>
      </c>
      <c r="P59" s="1" t="s">
        <v>379</v>
      </c>
      <c r="Q59" s="1" t="s">
        <v>379</v>
      </c>
      <c r="S59" s="1" t="s">
        <v>380</v>
      </c>
      <c r="T59" s="1">
        <v>7487</v>
      </c>
      <c r="U59" s="1" t="s">
        <v>381</v>
      </c>
      <c r="AA59" s="1" t="s">
        <v>5</v>
      </c>
      <c r="AC59" s="1">
        <v>1067</v>
      </c>
      <c r="AD59" s="31">
        <v>46221</v>
      </c>
      <c r="AE59" s="31">
        <v>46161</v>
      </c>
      <c r="AF59" s="1">
        <v>102</v>
      </c>
      <c r="AG59" s="1">
        <v>102</v>
      </c>
      <c r="AH59" s="1" t="s">
        <v>382</v>
      </c>
      <c r="AI59" s="1" t="b">
        <v>0</v>
      </c>
      <c r="AJ59" s="1" t="s">
        <v>513</v>
      </c>
      <c r="AK59" s="1" t="str">
        <f>IF(ISBLANK(SharePointTasks[[#This Row],[Operational ActionId]]), SharePointTasks[[#This Row],[Title]], SharePointTasks[[#This Row],[Title]] &amp; " (" &amp; VLOOKUP(SharePointTasks[[#This Row],[Operational ActionId]], Operational_Actions[], 6, FALSE) &amp; ")")</f>
        <v>Scouting Leadership (Townsville)</v>
      </c>
      <c r="AM59" s="1" t="str">
        <v>Scouting Leadership (Townsville)</v>
      </c>
    </row>
    <row r="60" spans="1:39" x14ac:dyDescent="0.2">
      <c r="A60" s="1">
        <v>0</v>
      </c>
      <c r="B60" s="1">
        <v>907</v>
      </c>
      <c r="D60" s="1" t="s">
        <v>348</v>
      </c>
      <c r="E60" s="1" t="s">
        <v>514</v>
      </c>
      <c r="F60" s="1" t="s">
        <v>416</v>
      </c>
      <c r="G60" s="1" t="s">
        <v>378</v>
      </c>
      <c r="J60" s="1" t="s">
        <v>87</v>
      </c>
      <c r="K60" s="31">
        <v>46094</v>
      </c>
      <c r="L60" s="31">
        <v>46094</v>
      </c>
      <c r="P60" s="1" t="s">
        <v>379</v>
      </c>
      <c r="Q60" s="1" t="s">
        <v>379</v>
      </c>
      <c r="T60" s="1">
        <v>5696</v>
      </c>
      <c r="U60" s="1" t="s">
        <v>381</v>
      </c>
      <c r="Z60" s="1" t="s">
        <v>413</v>
      </c>
      <c r="AA60" s="1" t="s">
        <v>5</v>
      </c>
      <c r="AC60" s="1">
        <v>907</v>
      </c>
      <c r="AD60" s="31">
        <v>46221</v>
      </c>
      <c r="AE60" s="31">
        <v>46161</v>
      </c>
      <c r="AF60" s="1">
        <v>102</v>
      </c>
      <c r="AG60" s="1">
        <v>102</v>
      </c>
      <c r="AH60" s="1" t="s">
        <v>414</v>
      </c>
      <c r="AI60" s="1" t="b">
        <v>0</v>
      </c>
      <c r="AJ60" s="1" t="s">
        <v>515</v>
      </c>
      <c r="AK60" s="1" t="str">
        <f>IF(ISBLANK(SharePointTasks[[#This Row],[Operational ActionId]]), SharePointTasks[[#This Row],[Title]], SharePointTasks[[#This Row],[Title]] &amp; " (" &amp; VLOOKUP(SharePointTasks[[#This Row],[Operational ActionId]], Operational_Actions[], 6, FALSE) &amp; ")")</f>
        <v>Hop-a-long Leader Conference</v>
      </c>
      <c r="AM60" s="1" t="str">
        <v>Hop-a-long Leader Conference</v>
      </c>
    </row>
    <row r="61" spans="1:39" x14ac:dyDescent="0.2">
      <c r="A61" s="1">
        <v>0</v>
      </c>
      <c r="B61" s="1">
        <v>993</v>
      </c>
      <c r="D61" s="1" t="s">
        <v>348</v>
      </c>
      <c r="E61" s="1" t="s">
        <v>405</v>
      </c>
      <c r="F61" s="1" t="s">
        <v>406</v>
      </c>
      <c r="G61" s="1" t="s">
        <v>378</v>
      </c>
      <c r="J61" s="1" t="s">
        <v>87</v>
      </c>
      <c r="K61" s="31">
        <v>46095</v>
      </c>
      <c r="L61" s="31">
        <v>46095</v>
      </c>
      <c r="P61" s="1" t="s">
        <v>379</v>
      </c>
      <c r="Q61" s="1" t="s">
        <v>379</v>
      </c>
      <c r="S61" s="1" t="s">
        <v>407</v>
      </c>
      <c r="T61" s="1">
        <v>5783</v>
      </c>
      <c r="U61" s="1" t="s">
        <v>381</v>
      </c>
      <c r="AA61" s="1" t="s">
        <v>5</v>
      </c>
      <c r="AC61" s="1">
        <v>993</v>
      </c>
      <c r="AD61" s="31">
        <v>46221</v>
      </c>
      <c r="AE61" s="31">
        <v>46161</v>
      </c>
      <c r="AF61" s="1">
        <v>102</v>
      </c>
      <c r="AG61" s="1">
        <v>102</v>
      </c>
      <c r="AH61" s="1" t="s">
        <v>382</v>
      </c>
      <c r="AI61" s="1" t="b">
        <v>0</v>
      </c>
      <c r="AJ61" s="1" t="s">
        <v>516</v>
      </c>
      <c r="AK61" s="1" t="str">
        <f>IF(ISBLANK(SharePointTasks[[#This Row],[Operational ActionId]]), SharePointTasks[[#This Row],[Title]], SharePointTasks[[#This Row],[Title]] &amp; " (" &amp; VLOOKUP(SharePointTasks[[#This Row],[Operational ActionId]], Operational_Actions[], 6, FALSE) &amp; ")")</f>
        <v>Queensland Branch Rover Council Meeting</v>
      </c>
      <c r="AM61" s="1" t="str">
        <v>Queensland Branch Rover Council Meeting</v>
      </c>
    </row>
    <row r="62" spans="1:39" x14ac:dyDescent="0.2">
      <c r="A62" s="1">
        <v>0</v>
      </c>
      <c r="B62" s="1">
        <v>952</v>
      </c>
      <c r="D62" s="1" t="s">
        <v>348</v>
      </c>
      <c r="E62" s="1" t="s">
        <v>409</v>
      </c>
      <c r="F62" s="1" t="s">
        <v>410</v>
      </c>
      <c r="G62" s="1" t="s">
        <v>378</v>
      </c>
      <c r="J62" s="1" t="s">
        <v>87</v>
      </c>
      <c r="K62" s="31">
        <v>46096</v>
      </c>
      <c r="L62" s="31">
        <v>46096</v>
      </c>
      <c r="P62" s="1" t="s">
        <v>379</v>
      </c>
      <c r="Q62" s="1" t="s">
        <v>379</v>
      </c>
      <c r="T62" s="1">
        <v>5742</v>
      </c>
      <c r="U62" s="1" t="s">
        <v>381</v>
      </c>
      <c r="AA62" s="1" t="s">
        <v>5</v>
      </c>
      <c r="AC62" s="1">
        <v>952</v>
      </c>
      <c r="AD62" s="31">
        <v>46221</v>
      </c>
      <c r="AE62" s="31">
        <v>46161</v>
      </c>
      <c r="AF62" s="1">
        <v>102</v>
      </c>
      <c r="AG62" s="1">
        <v>102</v>
      </c>
      <c r="AH62" s="1" t="s">
        <v>382</v>
      </c>
      <c r="AI62" s="1" t="b">
        <v>0</v>
      </c>
      <c r="AJ62" s="1" t="s">
        <v>518</v>
      </c>
      <c r="AK62" s="1" t="str">
        <f>IF(ISBLANK(SharePointTasks[[#This Row],[Operational ActionId]]), SharePointTasks[[#This Row],[Title]], SharePointTasks[[#This Row],[Title]] &amp; " (" &amp; VLOOKUP(SharePointTasks[[#This Row],[Operational ActionId]], Operational_Actions[], 6, FALSE) &amp; ")")</f>
        <v>Branch Finance Committee</v>
      </c>
      <c r="AM62" s="1" t="str">
        <v>Branch Finance Committee</v>
      </c>
    </row>
    <row r="63" spans="1:39" x14ac:dyDescent="0.2">
      <c r="A63" s="1">
        <v>0</v>
      </c>
      <c r="B63" s="1">
        <v>972</v>
      </c>
      <c r="D63" s="1" t="s">
        <v>348</v>
      </c>
      <c r="E63" s="1" t="s">
        <v>440</v>
      </c>
      <c r="F63" s="1" t="s">
        <v>406</v>
      </c>
      <c r="G63" s="1" t="s">
        <v>378</v>
      </c>
      <c r="J63" s="1" t="s">
        <v>87</v>
      </c>
      <c r="K63" s="31">
        <v>46096</v>
      </c>
      <c r="L63" s="31">
        <v>46096</v>
      </c>
      <c r="P63" s="1" t="s">
        <v>379</v>
      </c>
      <c r="Q63" s="1" t="s">
        <v>379</v>
      </c>
      <c r="T63" s="1">
        <v>5762</v>
      </c>
      <c r="U63" s="1" t="s">
        <v>381</v>
      </c>
      <c r="Z63" s="1" t="s">
        <v>413</v>
      </c>
      <c r="AA63" s="1" t="s">
        <v>5</v>
      </c>
      <c r="AC63" s="1">
        <v>972</v>
      </c>
      <c r="AD63" s="31">
        <v>46221</v>
      </c>
      <c r="AE63" s="31">
        <v>46161</v>
      </c>
      <c r="AF63" s="1">
        <v>102</v>
      </c>
      <c r="AG63" s="1">
        <v>102</v>
      </c>
      <c r="AH63" s="1" t="s">
        <v>382</v>
      </c>
      <c r="AI63" s="1" t="b">
        <v>0</v>
      </c>
      <c r="AJ63" s="1" t="s">
        <v>517</v>
      </c>
      <c r="AK63" s="1" t="str">
        <f>IF(ISBLANK(SharePointTasks[[#This Row],[Operational ActionId]]), SharePointTasks[[#This Row],[Title]], SharePointTasks[[#This Row],[Title]] &amp; " (" &amp; VLOOKUP(SharePointTasks[[#This Row],[Operational ActionId]], Operational_Actions[], 6, FALSE) &amp; ")")</f>
        <v>Branch Scout Section Council</v>
      </c>
      <c r="AM63" s="1" t="str">
        <v>Branch Scout Section Council</v>
      </c>
    </row>
    <row r="64" spans="1:39" x14ac:dyDescent="0.2">
      <c r="A64" s="1">
        <v>0</v>
      </c>
      <c r="B64" s="1">
        <v>981</v>
      </c>
      <c r="D64" s="1" t="s">
        <v>348</v>
      </c>
      <c r="E64" s="1" t="s">
        <v>442</v>
      </c>
      <c r="F64" s="1" t="s">
        <v>406</v>
      </c>
      <c r="G64" s="1" t="s">
        <v>378</v>
      </c>
      <c r="J64" s="1" t="s">
        <v>87</v>
      </c>
      <c r="K64" s="31">
        <v>46098</v>
      </c>
      <c r="L64" s="31">
        <v>46098</v>
      </c>
      <c r="P64" s="1" t="s">
        <v>379</v>
      </c>
      <c r="Q64" s="1" t="s">
        <v>379</v>
      </c>
      <c r="T64" s="1">
        <v>5771</v>
      </c>
      <c r="U64" s="1" t="s">
        <v>381</v>
      </c>
      <c r="AA64" s="1" t="s">
        <v>5</v>
      </c>
      <c r="AC64" s="1">
        <v>981</v>
      </c>
      <c r="AD64" s="31">
        <v>46221</v>
      </c>
      <c r="AE64" s="31">
        <v>46161</v>
      </c>
      <c r="AF64" s="1">
        <v>102</v>
      </c>
      <c r="AG64" s="1">
        <v>102</v>
      </c>
      <c r="AH64" s="1" t="s">
        <v>519</v>
      </c>
      <c r="AI64" s="1" t="b">
        <v>0</v>
      </c>
      <c r="AJ64" s="1" t="s">
        <v>520</v>
      </c>
      <c r="AK64" s="1" t="str">
        <f>IF(ISBLANK(SharePointTasks[[#This Row],[Operational ActionId]]), SharePointTasks[[#This Row],[Title]], SharePointTasks[[#This Row],[Title]] &amp; " (" &amp; VLOOKUP(SharePointTasks[[#This Row],[Operational ActionId]], Operational_Actions[], 6, FALSE) &amp; ")")</f>
        <v>Branch Youth Venturer Scout Council</v>
      </c>
      <c r="AM64" s="1" t="str">
        <v>Branch Youth Venturer Scout Council</v>
      </c>
    </row>
    <row r="65" spans="1:39" x14ac:dyDescent="0.2">
      <c r="A65" s="1">
        <v>0</v>
      </c>
      <c r="B65" s="1">
        <v>929</v>
      </c>
      <c r="D65" s="1" t="s">
        <v>348</v>
      </c>
      <c r="E65" s="1" t="s">
        <v>445</v>
      </c>
      <c r="F65" s="1" t="s">
        <v>406</v>
      </c>
      <c r="G65" s="1" t="s">
        <v>378</v>
      </c>
      <c r="J65" s="1" t="s">
        <v>87</v>
      </c>
      <c r="K65" s="31">
        <v>46099</v>
      </c>
      <c r="L65" s="31">
        <v>46099</v>
      </c>
      <c r="P65" s="1" t="s">
        <v>379</v>
      </c>
      <c r="Q65" s="1" t="s">
        <v>379</v>
      </c>
      <c r="T65" s="1">
        <v>5719</v>
      </c>
      <c r="U65" s="1" t="s">
        <v>381</v>
      </c>
      <c r="AA65" s="1" t="s">
        <v>5</v>
      </c>
      <c r="AC65" s="1">
        <v>929</v>
      </c>
      <c r="AD65" s="31">
        <v>46221</v>
      </c>
      <c r="AE65" s="31">
        <v>46161</v>
      </c>
      <c r="AF65" s="1">
        <v>102</v>
      </c>
      <c r="AG65" s="1">
        <v>102</v>
      </c>
      <c r="AH65" s="1" t="s">
        <v>519</v>
      </c>
      <c r="AI65" s="1" t="b">
        <v>0</v>
      </c>
      <c r="AJ65" s="1" t="s">
        <v>521</v>
      </c>
      <c r="AK65" s="1" t="str">
        <f>IF(ISBLANK(SharePointTasks[[#This Row],[Operational ActionId]]), SharePointTasks[[#This Row],[Title]], SharePointTasks[[#This Row],[Title]] &amp; " (" &amp; VLOOKUP(SharePointTasks[[#This Row],[Operational ActionId]], Operational_Actions[], 6, FALSE) &amp; ")")</f>
        <v>Branch Cub Scout Section Team Meeting</v>
      </c>
      <c r="AM65" s="1" t="str">
        <v>Branch Cub Scout Section Team Meeting</v>
      </c>
    </row>
    <row r="66" spans="1:39" x14ac:dyDescent="0.2">
      <c r="A66" s="1">
        <v>0</v>
      </c>
      <c r="B66" s="1">
        <v>1078</v>
      </c>
      <c r="D66" s="1" t="s">
        <v>348</v>
      </c>
      <c r="E66" s="1" t="s">
        <v>431</v>
      </c>
      <c r="F66" s="1" t="s">
        <v>522</v>
      </c>
      <c r="G66" s="1" t="s">
        <v>378</v>
      </c>
      <c r="J66" s="1" t="s">
        <v>87</v>
      </c>
      <c r="K66" s="31">
        <v>46100</v>
      </c>
      <c r="L66" s="31">
        <v>46102</v>
      </c>
      <c r="P66" s="1" t="s">
        <v>379</v>
      </c>
      <c r="Q66" s="1" t="s">
        <v>379</v>
      </c>
      <c r="S66" s="1" t="s">
        <v>380</v>
      </c>
      <c r="T66" s="1">
        <v>7557</v>
      </c>
      <c r="U66" s="1" t="s">
        <v>381</v>
      </c>
      <c r="AA66" s="1" t="s">
        <v>5</v>
      </c>
      <c r="AC66" s="1">
        <v>1078</v>
      </c>
      <c r="AD66" s="31">
        <v>46221</v>
      </c>
      <c r="AE66" s="31">
        <v>46161</v>
      </c>
      <c r="AF66" s="1">
        <v>102</v>
      </c>
      <c r="AG66" s="1">
        <v>102</v>
      </c>
      <c r="AH66" s="1" t="s">
        <v>519</v>
      </c>
      <c r="AI66" s="1" t="b">
        <v>0</v>
      </c>
      <c r="AJ66" s="1" t="s">
        <v>523</v>
      </c>
      <c r="AK66" s="1" t="str">
        <f>IF(ISBLANK(SharePointTasks[[#This Row],[Operational ActionId]]), SharePointTasks[[#This Row],[Title]], SharePointTasks[[#This Row],[Title]] &amp; " (" &amp; VLOOKUP(SharePointTasks[[#This Row],[Operational ActionId]], Operational_Actions[], 6, FALSE) &amp; ")")</f>
        <v>Scouting Adventure (Brisbane)</v>
      </c>
      <c r="AM66" s="1" t="str">
        <v>Scouting Adventure (Brisbane)</v>
      </c>
    </row>
    <row r="67" spans="1:39" x14ac:dyDescent="0.2">
      <c r="A67" s="1">
        <v>0</v>
      </c>
      <c r="B67" s="1">
        <v>1079</v>
      </c>
      <c r="D67" s="1" t="s">
        <v>348</v>
      </c>
      <c r="E67" s="1" t="s">
        <v>392</v>
      </c>
      <c r="F67" s="1" t="s">
        <v>524</v>
      </c>
      <c r="G67" s="1" t="s">
        <v>378</v>
      </c>
      <c r="J67" s="1" t="s">
        <v>87</v>
      </c>
      <c r="K67" s="31">
        <v>46100</v>
      </c>
      <c r="L67" s="31">
        <v>46102</v>
      </c>
      <c r="P67" s="1" t="s">
        <v>379</v>
      </c>
      <c r="Q67" s="1" t="s">
        <v>379</v>
      </c>
      <c r="S67" s="1" t="s">
        <v>380</v>
      </c>
      <c r="T67" s="1">
        <v>7558</v>
      </c>
      <c r="U67" s="1" t="s">
        <v>381</v>
      </c>
      <c r="AA67" s="1" t="s">
        <v>5</v>
      </c>
      <c r="AC67" s="1">
        <v>1079</v>
      </c>
      <c r="AD67" s="31">
        <v>46221</v>
      </c>
      <c r="AE67" s="31">
        <v>46161</v>
      </c>
      <c r="AF67" s="1">
        <v>102</v>
      </c>
      <c r="AG67" s="1">
        <v>102</v>
      </c>
      <c r="AH67" s="1" t="s">
        <v>519</v>
      </c>
      <c r="AI67" s="1" t="b">
        <v>0</v>
      </c>
      <c r="AJ67" s="1" t="s">
        <v>525</v>
      </c>
      <c r="AK67" s="1" t="str">
        <f>IF(ISBLANK(SharePointTasks[[#This Row],[Operational ActionId]]), SharePointTasks[[#This Row],[Title]], SharePointTasks[[#This Row],[Title]] &amp; " (" &amp; VLOOKUP(SharePointTasks[[#This Row],[Operational ActionId]], Operational_Actions[], 6, FALSE) &amp; ")")</f>
        <v>Scouting Management - Group Leaders (Brisbane)</v>
      </c>
      <c r="AM67" s="1" t="str">
        <v>Scouting Management - Group Leaders (Brisbane)</v>
      </c>
    </row>
    <row r="68" spans="1:39" x14ac:dyDescent="0.2">
      <c r="A68" s="1">
        <v>0</v>
      </c>
      <c r="B68" s="1">
        <v>1080</v>
      </c>
      <c r="D68" s="1" t="s">
        <v>348</v>
      </c>
      <c r="E68" s="1" t="s">
        <v>389</v>
      </c>
      <c r="F68" s="1" t="s">
        <v>526</v>
      </c>
      <c r="G68" s="1" t="s">
        <v>378</v>
      </c>
      <c r="J68" s="1" t="s">
        <v>87</v>
      </c>
      <c r="K68" s="31">
        <v>46100</v>
      </c>
      <c r="L68" s="31">
        <v>46102</v>
      </c>
      <c r="P68" s="1" t="s">
        <v>379</v>
      </c>
      <c r="Q68" s="1" t="s">
        <v>379</v>
      </c>
      <c r="S68" s="1" t="s">
        <v>380</v>
      </c>
      <c r="T68" s="1">
        <v>7559</v>
      </c>
      <c r="U68" s="1" t="s">
        <v>381</v>
      </c>
      <c r="AA68" s="1" t="s">
        <v>5</v>
      </c>
      <c r="AC68" s="1">
        <v>1080</v>
      </c>
      <c r="AD68" s="31">
        <v>46221</v>
      </c>
      <c r="AE68" s="31">
        <v>46161</v>
      </c>
      <c r="AF68" s="1">
        <v>102</v>
      </c>
      <c r="AG68" s="1">
        <v>102</v>
      </c>
      <c r="AH68" s="1" t="s">
        <v>519</v>
      </c>
      <c r="AI68" s="1" t="b">
        <v>0</v>
      </c>
      <c r="AJ68" s="1" t="s">
        <v>527</v>
      </c>
      <c r="AK68" s="1" t="str">
        <f>IF(ISBLANK(SharePointTasks[[#This Row],[Operational ActionId]]), SharePointTasks[[#This Row],[Title]], SharePointTasks[[#This Row],[Title]] &amp; " (" &amp; VLOOKUP(SharePointTasks[[#This Row],[Operational ActionId]], Operational_Actions[], 6, FALSE) &amp; ")")</f>
        <v>Scouting Essentials (Brisbane)</v>
      </c>
      <c r="AM68" s="1" t="str">
        <v>Scouting Essentials (Brisbane)</v>
      </c>
    </row>
    <row r="69" spans="1:39" x14ac:dyDescent="0.2">
      <c r="A69" s="1">
        <v>0</v>
      </c>
      <c r="B69" s="1">
        <v>1102</v>
      </c>
      <c r="D69" s="1" t="s">
        <v>348</v>
      </c>
      <c r="E69" s="1" t="s">
        <v>528</v>
      </c>
      <c r="F69" s="1" t="s">
        <v>529</v>
      </c>
      <c r="G69" s="1" t="s">
        <v>378</v>
      </c>
      <c r="J69" s="1" t="s">
        <v>87</v>
      </c>
      <c r="K69" s="31">
        <v>46100</v>
      </c>
      <c r="L69" s="31">
        <v>46102</v>
      </c>
      <c r="P69" s="1" t="s">
        <v>379</v>
      </c>
      <c r="Q69" s="1" t="s">
        <v>379</v>
      </c>
      <c r="S69" s="1" t="s">
        <v>380</v>
      </c>
      <c r="T69" s="1">
        <v>7581</v>
      </c>
      <c r="U69" s="1" t="s">
        <v>381</v>
      </c>
      <c r="AA69" s="1" t="s">
        <v>5</v>
      </c>
      <c r="AC69" s="1">
        <v>1102</v>
      </c>
      <c r="AD69" s="31">
        <v>46221</v>
      </c>
      <c r="AE69" s="31">
        <v>46161</v>
      </c>
      <c r="AF69" s="1">
        <v>102</v>
      </c>
      <c r="AG69" s="1">
        <v>102</v>
      </c>
      <c r="AH69" s="1" t="s">
        <v>519</v>
      </c>
      <c r="AI69" s="1" t="b">
        <v>0</v>
      </c>
      <c r="AJ69" s="1" t="s">
        <v>530</v>
      </c>
      <c r="AK69" s="1" t="str">
        <f>IF(ISBLANK(SharePointTasks[[#This Row],[Operational ActionId]]), SharePointTasks[[#This Row],[Title]], SharePointTasks[[#This Row],[Title]] &amp; " (" &amp; VLOOKUP(SharePointTasks[[#This Row],[Operational ActionId]], Operational_Actions[], 6, FALSE) &amp; ")")</f>
        <v>Scouting Essentials (FNR)</v>
      </c>
      <c r="AM69" s="1" t="str">
        <v>Scouting Essentials (FNR)</v>
      </c>
    </row>
    <row r="70" spans="1:39" x14ac:dyDescent="0.2">
      <c r="A70" s="1">
        <v>0</v>
      </c>
      <c r="B70" s="1">
        <v>921</v>
      </c>
      <c r="D70" s="1" t="s">
        <v>348</v>
      </c>
      <c r="E70" s="1" t="s">
        <v>531</v>
      </c>
      <c r="F70" s="1" t="s">
        <v>416</v>
      </c>
      <c r="G70" s="1" t="s">
        <v>378</v>
      </c>
      <c r="J70" s="1" t="s">
        <v>87</v>
      </c>
      <c r="K70" s="31">
        <v>46101</v>
      </c>
      <c r="L70" s="31">
        <v>46101</v>
      </c>
      <c r="P70" s="1" t="s">
        <v>379</v>
      </c>
      <c r="Q70" s="1" t="s">
        <v>379</v>
      </c>
      <c r="T70" s="1">
        <v>5710</v>
      </c>
      <c r="U70" s="1" t="s">
        <v>381</v>
      </c>
      <c r="AA70" s="1" t="s">
        <v>5</v>
      </c>
      <c r="AC70" s="1">
        <v>921</v>
      </c>
      <c r="AD70" s="31">
        <v>46221</v>
      </c>
      <c r="AE70" s="31">
        <v>46161</v>
      </c>
      <c r="AF70" s="1">
        <v>102</v>
      </c>
      <c r="AG70" s="1">
        <v>102</v>
      </c>
      <c r="AH70" s="1" t="s">
        <v>519</v>
      </c>
      <c r="AI70" s="1" t="b">
        <v>0</v>
      </c>
      <c r="AJ70" s="1" t="s">
        <v>532</v>
      </c>
      <c r="AK70" s="1" t="str">
        <f>IF(ISBLANK(SharePointTasks[[#This Row],[Operational ActionId]]), SharePointTasks[[#This Row],[Title]], SharePointTasks[[#This Row],[Title]] &amp; " (" &amp; VLOOKUP(SharePointTasks[[#This Row],[Operational ActionId]], Operational_Actions[], 6, FALSE) &amp; ")")</f>
        <v>Harmony Day</v>
      </c>
      <c r="AM70" s="1" t="str">
        <v>Harmony Day</v>
      </c>
    </row>
    <row r="71" spans="1:39" x14ac:dyDescent="0.2">
      <c r="A71" s="1">
        <v>0</v>
      </c>
      <c r="B71" s="1">
        <v>940</v>
      </c>
      <c r="D71" s="1" t="s">
        <v>348</v>
      </c>
      <c r="E71" s="1" t="s">
        <v>418</v>
      </c>
      <c r="F71" s="1" t="s">
        <v>419</v>
      </c>
      <c r="G71" s="1" t="s">
        <v>378</v>
      </c>
      <c r="J71" s="1" t="s">
        <v>87</v>
      </c>
      <c r="K71" s="31">
        <v>46104</v>
      </c>
      <c r="L71" s="31">
        <v>46104</v>
      </c>
      <c r="P71" s="1" t="s">
        <v>379</v>
      </c>
      <c r="Q71" s="1" t="s">
        <v>379</v>
      </c>
      <c r="T71" s="1">
        <v>5730</v>
      </c>
      <c r="U71" s="1" t="s">
        <v>381</v>
      </c>
      <c r="AA71" s="1" t="s">
        <v>5</v>
      </c>
      <c r="AC71" s="1">
        <v>940</v>
      </c>
      <c r="AD71" s="31">
        <v>46221</v>
      </c>
      <c r="AE71" s="31">
        <v>46161</v>
      </c>
      <c r="AF71" s="1">
        <v>102</v>
      </c>
      <c r="AG71" s="1">
        <v>102</v>
      </c>
      <c r="AH71" s="1" t="s">
        <v>519</v>
      </c>
      <c r="AI71" s="1" t="b">
        <v>0</v>
      </c>
      <c r="AJ71" s="1" t="s">
        <v>533</v>
      </c>
      <c r="AK71" s="1" t="str">
        <f>IF(ISBLANK(SharePointTasks[[#This Row],[Operational ActionId]]), SharePointTasks[[#This Row],[Title]], SharePointTasks[[#This Row],[Title]] &amp; " (" &amp; VLOOKUP(SharePointTasks[[#This Row],[Operational ActionId]], Operational_Actions[], 6, FALSE) &amp; ")")</f>
        <v>Branch Executive Committee</v>
      </c>
      <c r="AM71" s="1" t="str">
        <v>Branch Executive Committee</v>
      </c>
    </row>
    <row r="72" spans="1:39" x14ac:dyDescent="0.2">
      <c r="A72" s="1">
        <v>0</v>
      </c>
      <c r="B72" s="1">
        <v>895</v>
      </c>
      <c r="D72" s="1" t="s">
        <v>348</v>
      </c>
      <c r="E72" s="1" t="s">
        <v>534</v>
      </c>
      <c r="F72" s="1" t="s">
        <v>535</v>
      </c>
      <c r="G72" s="1" t="s">
        <v>378</v>
      </c>
      <c r="J72" s="1" t="s">
        <v>87</v>
      </c>
      <c r="K72" s="31">
        <v>46107</v>
      </c>
      <c r="L72" s="31">
        <v>46109</v>
      </c>
      <c r="P72" s="1" t="s">
        <v>379</v>
      </c>
      <c r="Q72" s="1" t="s">
        <v>379</v>
      </c>
      <c r="T72" s="1">
        <v>5684</v>
      </c>
      <c r="U72" s="1" t="s">
        <v>381</v>
      </c>
      <c r="AA72" s="1" t="s">
        <v>5</v>
      </c>
      <c r="AC72" s="1">
        <v>895</v>
      </c>
      <c r="AD72" s="31">
        <v>46221</v>
      </c>
      <c r="AE72" s="31">
        <v>46161</v>
      </c>
      <c r="AF72" s="1">
        <v>102</v>
      </c>
      <c r="AG72" s="1">
        <v>102</v>
      </c>
      <c r="AH72" s="1" t="s">
        <v>519</v>
      </c>
      <c r="AI72" s="1" t="b">
        <v>0</v>
      </c>
      <c r="AJ72" s="1" t="s">
        <v>536</v>
      </c>
      <c r="AK72" s="1" t="str">
        <f>IF(ISBLANK(SharePointTasks[[#This Row],[Operational ActionId]]), SharePointTasks[[#This Row],[Title]], SharePointTasks[[#This Row],[Title]] &amp; " (" &amp; VLOOKUP(SharePointTasks[[#This Row],[Operational ActionId]], Operational_Actions[], 6, FALSE) &amp; ")")</f>
        <v>Region Activity Weekend (RAW)</v>
      </c>
      <c r="AM72" s="1" t="str">
        <v>Region Activity Weekend (RAW)</v>
      </c>
    </row>
    <row r="73" spans="1:39" x14ac:dyDescent="0.2">
      <c r="A73" s="1">
        <v>0</v>
      </c>
      <c r="B73" s="1">
        <v>1081</v>
      </c>
      <c r="D73" s="1" t="s">
        <v>348</v>
      </c>
      <c r="E73" s="1" t="s">
        <v>386</v>
      </c>
      <c r="F73" s="1" t="s">
        <v>538</v>
      </c>
      <c r="G73" s="1" t="s">
        <v>378</v>
      </c>
      <c r="J73" s="1" t="s">
        <v>87</v>
      </c>
      <c r="K73" s="31">
        <v>46108</v>
      </c>
      <c r="L73" s="31">
        <v>46108</v>
      </c>
      <c r="P73" s="1" t="s">
        <v>379</v>
      </c>
      <c r="Q73" s="1" t="s">
        <v>379</v>
      </c>
      <c r="S73" s="1" t="s">
        <v>380</v>
      </c>
      <c r="T73" s="1">
        <v>7560</v>
      </c>
      <c r="U73" s="1" t="s">
        <v>381</v>
      </c>
      <c r="AA73" s="1" t="s">
        <v>5</v>
      </c>
      <c r="AC73" s="1">
        <v>1081</v>
      </c>
      <c r="AD73" s="31">
        <v>46221</v>
      </c>
      <c r="AE73" s="31">
        <v>46161</v>
      </c>
      <c r="AF73" s="1">
        <v>102</v>
      </c>
      <c r="AG73" s="1">
        <v>102</v>
      </c>
      <c r="AH73" s="1" t="s">
        <v>519</v>
      </c>
      <c r="AI73" s="1" t="b">
        <v>0</v>
      </c>
      <c r="AJ73" s="1" t="s">
        <v>539</v>
      </c>
      <c r="AK73" s="1" t="str">
        <f>IF(ISBLANK(SharePointTasks[[#This Row],[Operational ActionId]]), SharePointTasks[[#This Row],[Title]], SharePointTasks[[#This Row],[Title]] &amp; " (" &amp; VLOOKUP(SharePointTasks[[#This Row],[Operational ActionId]], Operational_Actions[], 6, FALSE) &amp; ")")</f>
        <v>Basic Water Rescue (FNQ)</v>
      </c>
      <c r="AM73" s="1" t="str">
        <v>Basic Water Rescue (FNQ)</v>
      </c>
    </row>
    <row r="74" spans="1:39" x14ac:dyDescent="0.2">
      <c r="A74" s="1">
        <v>0</v>
      </c>
      <c r="B74" s="1">
        <v>1082</v>
      </c>
      <c r="D74" s="1" t="s">
        <v>348</v>
      </c>
      <c r="E74" s="1" t="s">
        <v>376</v>
      </c>
      <c r="F74" s="1" t="s">
        <v>377</v>
      </c>
      <c r="G74" s="1" t="s">
        <v>378</v>
      </c>
      <c r="J74" s="1" t="s">
        <v>87</v>
      </c>
      <c r="K74" s="31">
        <v>46108</v>
      </c>
      <c r="L74" s="31">
        <v>46109</v>
      </c>
      <c r="P74" s="1" t="s">
        <v>379</v>
      </c>
      <c r="Q74" s="1" t="s">
        <v>379</v>
      </c>
      <c r="S74" s="1" t="s">
        <v>380</v>
      </c>
      <c r="T74" s="1">
        <v>7561</v>
      </c>
      <c r="U74" s="1" t="s">
        <v>381</v>
      </c>
      <c r="AA74" s="1" t="s">
        <v>5</v>
      </c>
      <c r="AC74" s="1">
        <v>1082</v>
      </c>
      <c r="AD74" s="31">
        <v>46221</v>
      </c>
      <c r="AE74" s="31">
        <v>46161</v>
      </c>
      <c r="AF74" s="1">
        <v>102</v>
      </c>
      <c r="AG74" s="1">
        <v>102</v>
      </c>
      <c r="AH74" s="1" t="s">
        <v>519</v>
      </c>
      <c r="AI74" s="1" t="b">
        <v>0</v>
      </c>
      <c r="AJ74" s="1" t="s">
        <v>537</v>
      </c>
      <c r="AK74" s="1" t="str">
        <f>IF(ISBLANK(SharePointTasks[[#This Row],[Operational ActionId]]), SharePointTasks[[#This Row],[Title]], SharePointTasks[[#This Row],[Title]] &amp; " (" &amp; VLOOKUP(SharePointTasks[[#This Row],[Operational ActionId]], Operational_Actions[], 6, FALSE) &amp; ")")</f>
        <v>Vertical - Abseiling Natural SP (Wide Bay)</v>
      </c>
      <c r="AM74" s="1" t="str">
        <v>Vertical - Abseiling Natural SP (Wide Bay)</v>
      </c>
    </row>
    <row r="75" spans="1:39" x14ac:dyDescent="0.2">
      <c r="A75" s="1">
        <v>0</v>
      </c>
      <c r="B75" s="1">
        <v>888</v>
      </c>
      <c r="D75" s="1" t="s">
        <v>348</v>
      </c>
      <c r="E75" s="1" t="s">
        <v>160</v>
      </c>
      <c r="F75" s="1" t="s">
        <v>416</v>
      </c>
      <c r="G75" s="1" t="s">
        <v>378</v>
      </c>
      <c r="J75" s="1" t="s">
        <v>87</v>
      </c>
      <c r="K75" s="31">
        <v>46114</v>
      </c>
      <c r="L75" s="31">
        <v>46117</v>
      </c>
      <c r="P75" s="1" t="s">
        <v>379</v>
      </c>
      <c r="Q75" s="1" t="s">
        <v>379</v>
      </c>
      <c r="T75" s="1">
        <v>5675</v>
      </c>
      <c r="U75" s="1" t="s">
        <v>381</v>
      </c>
      <c r="AA75" s="1" t="s">
        <v>5</v>
      </c>
      <c r="AC75" s="1">
        <v>888</v>
      </c>
      <c r="AD75" s="31">
        <v>46221</v>
      </c>
      <c r="AE75" s="31">
        <v>46161</v>
      </c>
      <c r="AF75" s="1">
        <v>102</v>
      </c>
      <c r="AG75" s="1">
        <v>102</v>
      </c>
      <c r="AH75" s="1" t="s">
        <v>519</v>
      </c>
      <c r="AI75" s="1" t="b">
        <v>0</v>
      </c>
      <c r="AJ75" s="1" t="s">
        <v>541</v>
      </c>
      <c r="AK75" s="1" t="str">
        <f>IF(ISBLANK(SharePointTasks[[#This Row],[Operational ActionId]]), SharePointTasks[[#This Row],[Title]], SharePointTasks[[#This Row],[Title]] &amp; " (" &amp; VLOOKUP(SharePointTasks[[#This Row],[Operational ActionId]], Operational_Actions[], 6, FALSE) &amp; ")")</f>
        <v>Kiwi Woggle</v>
      </c>
      <c r="AM75" s="1" t="str">
        <v>Kiwi Woggle</v>
      </c>
    </row>
    <row r="76" spans="1:39" x14ac:dyDescent="0.2">
      <c r="A76" s="1">
        <v>0</v>
      </c>
      <c r="B76" s="1">
        <v>920</v>
      </c>
      <c r="D76" s="1" t="s">
        <v>348</v>
      </c>
      <c r="E76" s="1" t="s">
        <v>314</v>
      </c>
      <c r="F76" s="1" t="s">
        <v>416</v>
      </c>
      <c r="G76" s="1" t="s">
        <v>378</v>
      </c>
      <c r="J76" s="1" t="s">
        <v>87</v>
      </c>
      <c r="K76" s="31">
        <v>46114</v>
      </c>
      <c r="L76" s="31">
        <v>46114</v>
      </c>
      <c r="P76" s="1" t="s">
        <v>379</v>
      </c>
      <c r="Q76" s="1" t="s">
        <v>379</v>
      </c>
      <c r="T76" s="1">
        <v>5709</v>
      </c>
      <c r="U76" s="1" t="s">
        <v>381</v>
      </c>
      <c r="AA76" s="1" t="s">
        <v>5</v>
      </c>
      <c r="AC76" s="1">
        <v>920</v>
      </c>
      <c r="AD76" s="31">
        <v>46221</v>
      </c>
      <c r="AE76" s="31">
        <v>46161</v>
      </c>
      <c r="AF76" s="1">
        <v>102</v>
      </c>
      <c r="AG76" s="1">
        <v>102</v>
      </c>
      <c r="AH76" s="1" t="s">
        <v>519</v>
      </c>
      <c r="AI76" s="1" t="b">
        <v>0</v>
      </c>
      <c r="AJ76" s="1" t="s">
        <v>540</v>
      </c>
      <c r="AK76" s="1" t="str">
        <f>IF(ISBLANK(SharePointTasks[[#This Row],[Operational ActionId]]), SharePointTasks[[#This Row],[Title]], SharePointTasks[[#This Row],[Title]] &amp; " (" &amp; VLOOKUP(SharePointTasks[[#This Row],[Operational ActionId]], Operational_Actions[], 6, FALSE) &amp; ")")</f>
        <v>Good Friday</v>
      </c>
      <c r="AM76" s="1" t="str">
        <v>Good Friday</v>
      </c>
    </row>
    <row r="77" spans="1:39" x14ac:dyDescent="0.2">
      <c r="A77" s="1">
        <v>0</v>
      </c>
      <c r="B77" s="1">
        <v>918</v>
      </c>
      <c r="D77" s="1" t="s">
        <v>348</v>
      </c>
      <c r="E77" s="1" t="s">
        <v>542</v>
      </c>
      <c r="F77" s="1" t="s">
        <v>416</v>
      </c>
      <c r="G77" s="1" t="s">
        <v>378</v>
      </c>
      <c r="J77" s="1" t="s">
        <v>87</v>
      </c>
      <c r="K77" s="31">
        <v>46115</v>
      </c>
      <c r="L77" s="31">
        <v>46115</v>
      </c>
      <c r="P77" s="1" t="s">
        <v>379</v>
      </c>
      <c r="Q77" s="1" t="s">
        <v>379</v>
      </c>
      <c r="T77" s="1">
        <v>5707</v>
      </c>
      <c r="U77" s="1" t="s">
        <v>381</v>
      </c>
      <c r="AA77" s="1" t="s">
        <v>5</v>
      </c>
      <c r="AC77" s="1">
        <v>918</v>
      </c>
      <c r="AD77" s="31">
        <v>46221</v>
      </c>
      <c r="AE77" s="31">
        <v>46161</v>
      </c>
      <c r="AF77" s="1">
        <v>102</v>
      </c>
      <c r="AG77" s="1">
        <v>102</v>
      </c>
      <c r="AH77" s="1" t="s">
        <v>519</v>
      </c>
      <c r="AI77" s="1" t="b">
        <v>0</v>
      </c>
      <c r="AJ77" s="1" t="s">
        <v>543</v>
      </c>
      <c r="AK77" s="1" t="str">
        <f>IF(ISBLANK(SharePointTasks[[#This Row],[Operational ActionId]]), SharePointTasks[[#This Row],[Title]], SharePointTasks[[#This Row],[Title]] &amp; " (" &amp; VLOOKUP(SharePointTasks[[#This Row],[Operational ActionId]], Operational_Actions[], 6, FALSE) &amp; ")")</f>
        <v>Easter Saturday</v>
      </c>
      <c r="AM77" s="1" t="str">
        <v>Easter Saturday</v>
      </c>
    </row>
    <row r="78" spans="1:39" x14ac:dyDescent="0.2">
      <c r="A78" s="1">
        <v>0</v>
      </c>
      <c r="B78" s="1">
        <v>919</v>
      </c>
      <c r="D78" s="1" t="s">
        <v>348</v>
      </c>
      <c r="E78" s="1" t="s">
        <v>318</v>
      </c>
      <c r="F78" s="1" t="s">
        <v>416</v>
      </c>
      <c r="G78" s="1" t="s">
        <v>378</v>
      </c>
      <c r="J78" s="1" t="s">
        <v>87</v>
      </c>
      <c r="K78" s="31">
        <v>46116</v>
      </c>
      <c r="L78" s="31">
        <v>46116</v>
      </c>
      <c r="P78" s="1" t="s">
        <v>379</v>
      </c>
      <c r="Q78" s="1" t="s">
        <v>379</v>
      </c>
      <c r="T78" s="1">
        <v>5708</v>
      </c>
      <c r="U78" s="1" t="s">
        <v>381</v>
      </c>
      <c r="AA78" s="1" t="s">
        <v>5</v>
      </c>
      <c r="AC78" s="1">
        <v>919</v>
      </c>
      <c r="AD78" s="31">
        <v>46221</v>
      </c>
      <c r="AE78" s="31">
        <v>46161</v>
      </c>
      <c r="AF78" s="1">
        <v>102</v>
      </c>
      <c r="AG78" s="1">
        <v>102</v>
      </c>
      <c r="AH78" s="1" t="s">
        <v>519</v>
      </c>
      <c r="AI78" s="1" t="b">
        <v>0</v>
      </c>
      <c r="AJ78" s="1" t="s">
        <v>544</v>
      </c>
      <c r="AK78" s="1" t="str">
        <f>IF(ISBLANK(SharePointTasks[[#This Row],[Operational ActionId]]), SharePointTasks[[#This Row],[Title]], SharePointTasks[[#This Row],[Title]] &amp; " (" &amp; VLOOKUP(SharePointTasks[[#This Row],[Operational ActionId]], Operational_Actions[], 6, FALSE) &amp; ")")</f>
        <v>Easter Sunday</v>
      </c>
      <c r="AM78" s="1" t="str">
        <v>Easter Sunday</v>
      </c>
    </row>
    <row r="79" spans="1:39" x14ac:dyDescent="0.2">
      <c r="A79" s="1">
        <v>0</v>
      </c>
      <c r="B79" s="1">
        <v>917</v>
      </c>
      <c r="D79" s="1" t="s">
        <v>348</v>
      </c>
      <c r="E79" s="1" t="s">
        <v>320</v>
      </c>
      <c r="F79" s="1" t="s">
        <v>416</v>
      </c>
      <c r="G79" s="1" t="s">
        <v>378</v>
      </c>
      <c r="J79" s="1" t="s">
        <v>87</v>
      </c>
      <c r="K79" s="31">
        <v>46117</v>
      </c>
      <c r="L79" s="31">
        <v>46117</v>
      </c>
      <c r="P79" s="1" t="s">
        <v>379</v>
      </c>
      <c r="Q79" s="1" t="s">
        <v>379</v>
      </c>
      <c r="T79" s="1">
        <v>5706</v>
      </c>
      <c r="U79" s="1" t="s">
        <v>381</v>
      </c>
      <c r="AA79" s="1" t="s">
        <v>5</v>
      </c>
      <c r="AC79" s="1">
        <v>917</v>
      </c>
      <c r="AD79" s="31">
        <v>46221</v>
      </c>
      <c r="AE79" s="31">
        <v>46161</v>
      </c>
      <c r="AF79" s="1">
        <v>102</v>
      </c>
      <c r="AG79" s="1">
        <v>102</v>
      </c>
      <c r="AH79" s="1" t="s">
        <v>519</v>
      </c>
      <c r="AI79" s="1" t="b">
        <v>0</v>
      </c>
      <c r="AJ79" s="1" t="s">
        <v>545</v>
      </c>
      <c r="AK79" s="1" t="str">
        <f>IF(ISBLANK(SharePointTasks[[#This Row],[Operational ActionId]]), SharePointTasks[[#This Row],[Title]], SharePointTasks[[#This Row],[Title]] &amp; " (" &amp; VLOOKUP(SharePointTasks[[#This Row],[Operational ActionId]], Operational_Actions[], 6, FALSE) &amp; ")")</f>
        <v>Easter Monday</v>
      </c>
      <c r="AM79" s="1" t="str">
        <v>Easter Monday</v>
      </c>
    </row>
    <row r="80" spans="1:39" x14ac:dyDescent="0.2">
      <c r="A80" s="1">
        <v>0</v>
      </c>
      <c r="B80" s="1">
        <v>878</v>
      </c>
      <c r="D80" s="1" t="s">
        <v>348</v>
      </c>
      <c r="E80" s="1" t="s">
        <v>546</v>
      </c>
      <c r="G80" s="1" t="s">
        <v>378</v>
      </c>
      <c r="J80" s="1" t="s">
        <v>87</v>
      </c>
      <c r="K80" s="31">
        <v>46120</v>
      </c>
      <c r="L80" s="31">
        <v>46124</v>
      </c>
      <c r="P80" s="1" t="s">
        <v>379</v>
      </c>
      <c r="Q80" s="1" t="s">
        <v>379</v>
      </c>
      <c r="T80" s="1">
        <v>5665</v>
      </c>
      <c r="U80" s="1" t="s">
        <v>381</v>
      </c>
      <c r="AA80" s="1" t="s">
        <v>5</v>
      </c>
      <c r="AC80" s="1">
        <v>878</v>
      </c>
      <c r="AD80" s="31">
        <v>46221</v>
      </c>
      <c r="AE80" s="31">
        <v>46161</v>
      </c>
      <c r="AF80" s="1">
        <v>102</v>
      </c>
      <c r="AG80" s="1">
        <v>102</v>
      </c>
      <c r="AH80" s="1" t="s">
        <v>519</v>
      </c>
      <c r="AI80" s="1" t="b">
        <v>0</v>
      </c>
      <c r="AJ80" s="1" t="s">
        <v>547</v>
      </c>
      <c r="AK80" s="1" t="str">
        <f>IF(ISBLANK(SharePointTasks[[#This Row],[Operational ActionId]]), SharePointTasks[[#This Row],[Title]], SharePointTasks[[#This Row],[Title]] &amp; " (" &amp; VLOOKUP(SharePointTasks[[#This Row],[Operational ActionId]], Operational_Actions[], 6, FALSE) &amp; ")")</f>
        <v>Cuboree</v>
      </c>
      <c r="AM80" s="1" t="str">
        <v>Cuboree</v>
      </c>
    </row>
    <row r="81" spans="1:39" x14ac:dyDescent="0.2">
      <c r="A81" s="1">
        <v>0</v>
      </c>
      <c r="B81" s="1">
        <v>1083</v>
      </c>
      <c r="D81" s="1" t="s">
        <v>348</v>
      </c>
      <c r="E81" s="1" t="s">
        <v>548</v>
      </c>
      <c r="F81" s="1" t="s">
        <v>549</v>
      </c>
      <c r="G81" s="1" t="s">
        <v>378</v>
      </c>
      <c r="J81" s="1" t="s">
        <v>87</v>
      </c>
      <c r="K81" s="31">
        <v>46121</v>
      </c>
      <c r="L81" s="31">
        <v>46123</v>
      </c>
      <c r="P81" s="1" t="s">
        <v>379</v>
      </c>
      <c r="Q81" s="1" t="s">
        <v>379</v>
      </c>
      <c r="S81" s="1" t="s">
        <v>380</v>
      </c>
      <c r="T81" s="1">
        <v>7562</v>
      </c>
      <c r="U81" s="1" t="s">
        <v>381</v>
      </c>
      <c r="AA81" s="1" t="s">
        <v>5</v>
      </c>
      <c r="AC81" s="1">
        <v>1083</v>
      </c>
      <c r="AD81" s="31">
        <v>46221</v>
      </c>
      <c r="AE81" s="31">
        <v>46161</v>
      </c>
      <c r="AF81" s="1">
        <v>102</v>
      </c>
      <c r="AG81" s="1">
        <v>102</v>
      </c>
      <c r="AH81" s="1" t="s">
        <v>519</v>
      </c>
      <c r="AI81" s="1" t="b">
        <v>0</v>
      </c>
      <c r="AJ81" s="1" t="s">
        <v>550</v>
      </c>
      <c r="AK81" s="1" t="str">
        <f>IF(ISBLANK(SharePointTasks[[#This Row],[Operational ActionId]]), SharePointTasks[[#This Row],[Title]], SharePointTasks[[#This Row],[Title]] &amp; " (" &amp; VLOOKUP(SharePointTasks[[#This Row],[Operational ActionId]], Operational_Actions[], 6, FALSE) &amp; ")")</f>
        <v>Scouting Essentials (Bundaberg)</v>
      </c>
      <c r="AM81" s="1" t="str">
        <v>Scouting Essentials (Bundaberg)</v>
      </c>
    </row>
    <row r="82" spans="1:39" x14ac:dyDescent="0.2">
      <c r="A82" s="1">
        <v>0</v>
      </c>
      <c r="B82" s="1">
        <v>1034</v>
      </c>
      <c r="D82" s="1" t="s">
        <v>348</v>
      </c>
      <c r="E82" s="1" t="s">
        <v>424</v>
      </c>
      <c r="F82" s="1" t="s">
        <v>551</v>
      </c>
      <c r="G82" s="1" t="s">
        <v>378</v>
      </c>
      <c r="J82" s="1" t="s">
        <v>87</v>
      </c>
      <c r="K82" s="31">
        <v>46122</v>
      </c>
      <c r="L82" s="31">
        <v>46122</v>
      </c>
      <c r="P82" s="1" t="s">
        <v>379</v>
      </c>
      <c r="Q82" s="1" t="s">
        <v>379</v>
      </c>
      <c r="T82" s="1">
        <v>7257</v>
      </c>
      <c r="U82" s="1" t="s">
        <v>381</v>
      </c>
      <c r="AA82" s="1" t="s">
        <v>5</v>
      </c>
      <c r="AC82" s="1">
        <v>1034</v>
      </c>
      <c r="AD82" s="31">
        <v>46221</v>
      </c>
      <c r="AE82" s="31">
        <v>46161</v>
      </c>
      <c r="AF82" s="1">
        <v>102</v>
      </c>
      <c r="AG82" s="1">
        <v>102</v>
      </c>
      <c r="AH82" s="1" t="s">
        <v>519</v>
      </c>
      <c r="AI82" s="1" t="b">
        <v>0</v>
      </c>
      <c r="AJ82" s="1" t="s">
        <v>552</v>
      </c>
      <c r="AK82" s="1" t="str">
        <f>IF(ISBLANK(SharePointTasks[[#This Row],[Operational ActionId]]), SharePointTasks[[#This Row],[Title]], SharePointTasks[[#This Row],[Title]] &amp; " (" &amp; VLOOKUP(SharePointTasks[[#This Row],[Operational ActionId]], Operational_Actions[], 6, FALSE) &amp; ")")</f>
        <v>Scouting Leadership (Online)</v>
      </c>
      <c r="AM82" s="1" t="str">
        <v>Scouting Leadership (Online)</v>
      </c>
    </row>
    <row r="83" spans="1:39" x14ac:dyDescent="0.2">
      <c r="A83" s="1">
        <v>0</v>
      </c>
      <c r="B83" s="1">
        <v>1057</v>
      </c>
      <c r="D83" s="1" t="s">
        <v>348</v>
      </c>
      <c r="E83" s="1" t="s">
        <v>424</v>
      </c>
      <c r="F83" s="1" t="s">
        <v>551</v>
      </c>
      <c r="G83" s="1" t="s">
        <v>378</v>
      </c>
      <c r="J83" s="1" t="s">
        <v>87</v>
      </c>
      <c r="K83" s="31">
        <v>46122</v>
      </c>
      <c r="L83" s="31">
        <v>46122</v>
      </c>
      <c r="P83" s="1" t="s">
        <v>379</v>
      </c>
      <c r="Q83" s="1" t="s">
        <v>379</v>
      </c>
      <c r="S83" s="1" t="s">
        <v>380</v>
      </c>
      <c r="T83" s="1">
        <v>7400</v>
      </c>
      <c r="U83" s="1" t="s">
        <v>381</v>
      </c>
      <c r="AA83" s="1" t="s">
        <v>5</v>
      </c>
      <c r="AC83" s="1">
        <v>1057</v>
      </c>
      <c r="AD83" s="31">
        <v>46221</v>
      </c>
      <c r="AE83" s="31">
        <v>46161</v>
      </c>
      <c r="AF83" s="1">
        <v>102</v>
      </c>
      <c r="AG83" s="1">
        <v>102</v>
      </c>
      <c r="AH83" s="1" t="s">
        <v>519</v>
      </c>
      <c r="AI83" s="1" t="b">
        <v>0</v>
      </c>
      <c r="AJ83" s="1" t="s">
        <v>553</v>
      </c>
      <c r="AK83" s="1" t="str">
        <f>IF(ISBLANK(SharePointTasks[[#This Row],[Operational ActionId]]), SharePointTasks[[#This Row],[Title]], SharePointTasks[[#This Row],[Title]] &amp; " (" &amp; VLOOKUP(SharePointTasks[[#This Row],[Operational ActionId]], Operational_Actions[], 6, FALSE) &amp; ")")</f>
        <v>Scouting Leadership (Online)</v>
      </c>
      <c r="AM83" s="1" t="str">
        <v>Scouting Leadership (Online)</v>
      </c>
    </row>
    <row r="84" spans="1:39" x14ac:dyDescent="0.2">
      <c r="A84" s="1">
        <v>0</v>
      </c>
      <c r="B84" s="1">
        <v>964</v>
      </c>
      <c r="D84" s="1" t="s">
        <v>348</v>
      </c>
      <c r="E84" s="1" t="s">
        <v>412</v>
      </c>
      <c r="F84" s="1" t="s">
        <v>406</v>
      </c>
      <c r="G84" s="1" t="s">
        <v>378</v>
      </c>
      <c r="J84" s="1" t="s">
        <v>87</v>
      </c>
      <c r="K84" s="31">
        <v>46126</v>
      </c>
      <c r="L84" s="31">
        <v>46126</v>
      </c>
      <c r="P84" s="1" t="s">
        <v>379</v>
      </c>
      <c r="Q84" s="1" t="s">
        <v>379</v>
      </c>
      <c r="S84" s="1" t="s">
        <v>129</v>
      </c>
      <c r="T84" s="1">
        <v>5754</v>
      </c>
      <c r="U84" s="1" t="s">
        <v>381</v>
      </c>
      <c r="Z84" s="1" t="s">
        <v>413</v>
      </c>
      <c r="AA84" s="1" t="s">
        <v>5</v>
      </c>
      <c r="AC84" s="1">
        <v>964</v>
      </c>
      <c r="AD84" s="31">
        <v>46221</v>
      </c>
      <c r="AE84" s="31">
        <v>46161</v>
      </c>
      <c r="AF84" s="1">
        <v>102</v>
      </c>
      <c r="AG84" s="1">
        <v>102</v>
      </c>
      <c r="AH84" s="1" t="s">
        <v>382</v>
      </c>
      <c r="AI84" s="1" t="b">
        <v>0</v>
      </c>
      <c r="AJ84" s="1" t="s">
        <v>554</v>
      </c>
      <c r="AK84" s="1" t="str">
        <f>IF(ISBLANK(SharePointTasks[[#This Row],[Operational ActionId]]), SharePointTasks[[#This Row],[Title]], SharePointTasks[[#This Row],[Title]] &amp; " (" &amp; VLOOKUP(SharePointTasks[[#This Row],[Operational ActionId]], Operational_Actions[], 6, FALSE) &amp; ")")</f>
        <v>Branch Joey Scout Council</v>
      </c>
      <c r="AM84" s="1" t="str">
        <v>Branch Joey Scout Council</v>
      </c>
    </row>
    <row r="85" spans="1:39" x14ac:dyDescent="0.2">
      <c r="A85" s="1">
        <v>0</v>
      </c>
      <c r="B85" s="1">
        <v>982</v>
      </c>
      <c r="D85" s="1" t="s">
        <v>348</v>
      </c>
      <c r="E85" s="1" t="s">
        <v>442</v>
      </c>
      <c r="F85" s="1" t="s">
        <v>406</v>
      </c>
      <c r="G85" s="1" t="s">
        <v>378</v>
      </c>
      <c r="J85" s="1" t="s">
        <v>87</v>
      </c>
      <c r="K85" s="31">
        <v>46126</v>
      </c>
      <c r="L85" s="31">
        <v>46126</v>
      </c>
      <c r="P85" s="1" t="s">
        <v>379</v>
      </c>
      <c r="Q85" s="1" t="s">
        <v>379</v>
      </c>
      <c r="T85" s="1">
        <v>5772</v>
      </c>
      <c r="U85" s="1" t="s">
        <v>381</v>
      </c>
      <c r="AA85" s="1" t="s">
        <v>5</v>
      </c>
      <c r="AC85" s="1">
        <v>982</v>
      </c>
      <c r="AD85" s="31">
        <v>46221</v>
      </c>
      <c r="AE85" s="31">
        <v>46161</v>
      </c>
      <c r="AF85" s="1">
        <v>102</v>
      </c>
      <c r="AG85" s="1">
        <v>102</v>
      </c>
      <c r="AH85" s="1" t="s">
        <v>519</v>
      </c>
      <c r="AI85" s="1" t="b">
        <v>0</v>
      </c>
      <c r="AJ85" s="1" t="s">
        <v>555</v>
      </c>
      <c r="AK85" s="1" t="str">
        <f>IF(ISBLANK(SharePointTasks[[#This Row],[Operational ActionId]]), SharePointTasks[[#This Row],[Title]], SharePointTasks[[#This Row],[Title]] &amp; " (" &amp; VLOOKUP(SharePointTasks[[#This Row],[Operational ActionId]], Operational_Actions[], 6, FALSE) &amp; ")")</f>
        <v>Branch Youth Venturer Scout Council</v>
      </c>
      <c r="AM85" s="1" t="str">
        <v>Branch Youth Venturer Scout Council</v>
      </c>
    </row>
    <row r="86" spans="1:39" x14ac:dyDescent="0.2">
      <c r="A86" s="1">
        <v>0</v>
      </c>
      <c r="B86" s="1">
        <v>930</v>
      </c>
      <c r="D86" s="1" t="s">
        <v>348</v>
      </c>
      <c r="E86" s="1" t="s">
        <v>445</v>
      </c>
      <c r="F86" s="1" t="s">
        <v>406</v>
      </c>
      <c r="G86" s="1" t="s">
        <v>378</v>
      </c>
      <c r="J86" s="1" t="s">
        <v>87</v>
      </c>
      <c r="K86" s="31">
        <v>46127</v>
      </c>
      <c r="L86" s="31">
        <v>46127</v>
      </c>
      <c r="P86" s="1" t="s">
        <v>379</v>
      </c>
      <c r="Q86" s="1" t="s">
        <v>379</v>
      </c>
      <c r="S86" s="1" t="s">
        <v>132</v>
      </c>
      <c r="T86" s="1">
        <v>5720</v>
      </c>
      <c r="U86" s="1" t="s">
        <v>381</v>
      </c>
      <c r="AA86" s="1" t="s">
        <v>5</v>
      </c>
      <c r="AC86" s="1">
        <v>930</v>
      </c>
      <c r="AD86" s="31">
        <v>46221</v>
      </c>
      <c r="AE86" s="31">
        <v>46161</v>
      </c>
      <c r="AF86" s="1">
        <v>102</v>
      </c>
      <c r="AG86" s="1">
        <v>102</v>
      </c>
      <c r="AH86" s="1" t="s">
        <v>519</v>
      </c>
      <c r="AI86" s="1" t="b">
        <v>0</v>
      </c>
      <c r="AJ86" s="1" t="s">
        <v>556</v>
      </c>
      <c r="AK86" s="1" t="str">
        <f>IF(ISBLANK(SharePointTasks[[#This Row],[Operational ActionId]]), SharePointTasks[[#This Row],[Title]], SharePointTasks[[#This Row],[Title]] &amp; " (" &amp; VLOOKUP(SharePointTasks[[#This Row],[Operational ActionId]], Operational_Actions[], 6, FALSE) &amp; ")")</f>
        <v>Branch Cub Scout Section Team Meeting</v>
      </c>
      <c r="AM86" s="1" t="str">
        <v>Branch Cub Scout Section Team Meeting</v>
      </c>
    </row>
    <row r="87" spans="1:39" x14ac:dyDescent="0.2">
      <c r="A87" s="1">
        <v>0</v>
      </c>
      <c r="B87" s="1">
        <v>994</v>
      </c>
      <c r="D87" s="1" t="s">
        <v>348</v>
      </c>
      <c r="E87" s="1" t="s">
        <v>405</v>
      </c>
      <c r="F87" s="1" t="s">
        <v>406</v>
      </c>
      <c r="G87" s="1" t="s">
        <v>378</v>
      </c>
      <c r="J87" s="1" t="s">
        <v>87</v>
      </c>
      <c r="K87" s="31">
        <v>46130</v>
      </c>
      <c r="L87" s="31">
        <v>46130</v>
      </c>
      <c r="P87" s="1" t="s">
        <v>379</v>
      </c>
      <c r="Q87" s="1" t="s">
        <v>379</v>
      </c>
      <c r="S87" s="1" t="s">
        <v>407</v>
      </c>
      <c r="T87" s="1">
        <v>5784</v>
      </c>
      <c r="U87" s="1" t="s">
        <v>381</v>
      </c>
      <c r="AA87" s="1" t="s">
        <v>5</v>
      </c>
      <c r="AC87" s="1">
        <v>994</v>
      </c>
      <c r="AD87" s="31">
        <v>46221</v>
      </c>
      <c r="AE87" s="31">
        <v>46161</v>
      </c>
      <c r="AF87" s="1">
        <v>102</v>
      </c>
      <c r="AG87" s="1">
        <v>102</v>
      </c>
      <c r="AH87" s="1" t="s">
        <v>519</v>
      </c>
      <c r="AI87" s="1" t="b">
        <v>0</v>
      </c>
      <c r="AJ87" s="1" t="s">
        <v>557</v>
      </c>
      <c r="AK87" s="1" t="str">
        <f>IF(ISBLANK(SharePointTasks[[#This Row],[Operational ActionId]]), SharePointTasks[[#This Row],[Title]], SharePointTasks[[#This Row],[Title]] &amp; " (" &amp; VLOOKUP(SharePointTasks[[#This Row],[Operational ActionId]], Operational_Actions[], 6, FALSE) &amp; ")")</f>
        <v>Queensland Branch Rover Council Meeting</v>
      </c>
      <c r="AM87" s="1" t="str">
        <v>Queensland Branch Rover Council Meeting</v>
      </c>
    </row>
    <row r="88" spans="1:39" x14ac:dyDescent="0.2">
      <c r="A88" s="1">
        <v>0</v>
      </c>
      <c r="B88" s="1">
        <v>953</v>
      </c>
      <c r="D88" s="1" t="s">
        <v>348</v>
      </c>
      <c r="E88" s="1" t="s">
        <v>409</v>
      </c>
      <c r="F88" s="1" t="s">
        <v>410</v>
      </c>
      <c r="G88" s="1" t="s">
        <v>378</v>
      </c>
      <c r="J88" s="1" t="s">
        <v>87</v>
      </c>
      <c r="K88" s="31">
        <v>46131</v>
      </c>
      <c r="L88" s="31">
        <v>46131</v>
      </c>
      <c r="P88" s="1" t="s">
        <v>379</v>
      </c>
      <c r="Q88" s="1" t="s">
        <v>379</v>
      </c>
      <c r="T88" s="1">
        <v>5743</v>
      </c>
      <c r="U88" s="1" t="s">
        <v>381</v>
      </c>
      <c r="AA88" s="1" t="s">
        <v>5</v>
      </c>
      <c r="AC88" s="1">
        <v>953</v>
      </c>
      <c r="AD88" s="31">
        <v>46221</v>
      </c>
      <c r="AE88" s="31">
        <v>46161</v>
      </c>
      <c r="AF88" s="1">
        <v>102</v>
      </c>
      <c r="AG88" s="1">
        <v>102</v>
      </c>
      <c r="AH88" s="1" t="s">
        <v>519</v>
      </c>
      <c r="AI88" s="1" t="b">
        <v>0</v>
      </c>
      <c r="AJ88" s="1" t="s">
        <v>559</v>
      </c>
      <c r="AK88" s="1" t="str">
        <f>IF(ISBLANK(SharePointTasks[[#This Row],[Operational ActionId]]), SharePointTasks[[#This Row],[Title]], SharePointTasks[[#This Row],[Title]] &amp; " (" &amp; VLOOKUP(SharePointTasks[[#This Row],[Operational ActionId]], Operational_Actions[], 6, FALSE) &amp; ")")</f>
        <v>Branch Finance Committee</v>
      </c>
      <c r="AM88" s="1" t="str">
        <v>Branch Finance Committee</v>
      </c>
    </row>
    <row r="89" spans="1:39" x14ac:dyDescent="0.2">
      <c r="A89" s="1">
        <v>0</v>
      </c>
      <c r="B89" s="1">
        <v>973</v>
      </c>
      <c r="D89" s="1" t="s">
        <v>348</v>
      </c>
      <c r="E89" s="1" t="s">
        <v>440</v>
      </c>
      <c r="F89" s="1" t="s">
        <v>406</v>
      </c>
      <c r="G89" s="1" t="s">
        <v>378</v>
      </c>
      <c r="J89" s="1" t="s">
        <v>87</v>
      </c>
      <c r="K89" s="31">
        <v>46131</v>
      </c>
      <c r="L89" s="31">
        <v>46131</v>
      </c>
      <c r="P89" s="1" t="s">
        <v>379</v>
      </c>
      <c r="Q89" s="1" t="s">
        <v>379</v>
      </c>
      <c r="T89" s="1">
        <v>5763</v>
      </c>
      <c r="U89" s="1" t="s">
        <v>381</v>
      </c>
      <c r="Z89" s="1" t="s">
        <v>413</v>
      </c>
      <c r="AA89" s="1" t="s">
        <v>5</v>
      </c>
      <c r="AC89" s="1">
        <v>973</v>
      </c>
      <c r="AD89" s="31">
        <v>46221</v>
      </c>
      <c r="AE89" s="31">
        <v>46161</v>
      </c>
      <c r="AF89" s="1">
        <v>102</v>
      </c>
      <c r="AG89" s="1">
        <v>102</v>
      </c>
      <c r="AH89" s="1" t="s">
        <v>382</v>
      </c>
      <c r="AI89" s="1" t="b">
        <v>0</v>
      </c>
      <c r="AJ89" s="1" t="s">
        <v>558</v>
      </c>
      <c r="AK89" s="1" t="str">
        <f>IF(ISBLANK(SharePointTasks[[#This Row],[Operational ActionId]]), SharePointTasks[[#This Row],[Title]], SharePointTasks[[#This Row],[Title]] &amp; " (" &amp; VLOOKUP(SharePointTasks[[#This Row],[Operational ActionId]], Operational_Actions[], 6, FALSE) &amp; ")")</f>
        <v>Branch Scout Section Council</v>
      </c>
      <c r="AM89" s="1" t="str">
        <v>Branch Scout Section Council</v>
      </c>
    </row>
    <row r="90" spans="1:39" x14ac:dyDescent="0.2">
      <c r="A90" s="1">
        <v>0</v>
      </c>
      <c r="B90" s="1">
        <v>1084</v>
      </c>
      <c r="D90" s="1" t="s">
        <v>348</v>
      </c>
      <c r="E90" s="1" t="s">
        <v>560</v>
      </c>
      <c r="F90" s="1" t="s">
        <v>561</v>
      </c>
      <c r="G90" s="1" t="s">
        <v>378</v>
      </c>
      <c r="J90" s="1" t="s">
        <v>87</v>
      </c>
      <c r="K90" s="31">
        <v>46133</v>
      </c>
      <c r="L90" s="31">
        <v>46133</v>
      </c>
      <c r="P90" s="1" t="s">
        <v>379</v>
      </c>
      <c r="Q90" s="1" t="s">
        <v>379</v>
      </c>
      <c r="S90" s="1" t="s">
        <v>380</v>
      </c>
      <c r="T90" s="1">
        <v>7563</v>
      </c>
      <c r="U90" s="1" t="s">
        <v>381</v>
      </c>
      <c r="AA90" s="1" t="s">
        <v>5</v>
      </c>
      <c r="AC90" s="1">
        <v>1084</v>
      </c>
      <c r="AD90" s="31">
        <v>46221</v>
      </c>
      <c r="AE90" s="31">
        <v>46161</v>
      </c>
      <c r="AF90" s="1">
        <v>102</v>
      </c>
      <c r="AG90" s="1">
        <v>102</v>
      </c>
      <c r="AH90" s="1" t="s">
        <v>519</v>
      </c>
      <c r="AI90" s="1" t="b">
        <v>0</v>
      </c>
      <c r="AJ90" s="1" t="s">
        <v>562</v>
      </c>
      <c r="AK90" s="1" t="str">
        <f>IF(ISBLANK(SharePointTasks[[#This Row],[Operational ActionId]]), SharePointTasks[[#This Row],[Title]], SharePointTasks[[#This Row],[Title]] &amp; " (" &amp; VLOOKUP(SharePointTasks[[#This Row],[Operational ActionId]], Operational_Actions[], 6, FALSE) &amp; ")")</f>
        <v>Scouting Management - Commissioners and Advisors (Online)</v>
      </c>
      <c r="AM90" s="1" t="str">
        <v>Scouting Management - Commissioners and Advisors (Online)</v>
      </c>
    </row>
    <row r="91" spans="1:39" x14ac:dyDescent="0.2">
      <c r="A91" s="1">
        <v>0</v>
      </c>
      <c r="B91" s="1">
        <v>912</v>
      </c>
      <c r="D91" s="1" t="s">
        <v>348</v>
      </c>
      <c r="E91" s="1" t="s">
        <v>563</v>
      </c>
      <c r="F91" s="1" t="s">
        <v>416</v>
      </c>
      <c r="G91" s="1" t="s">
        <v>378</v>
      </c>
      <c r="J91" s="1" t="s">
        <v>87</v>
      </c>
      <c r="K91" s="31">
        <v>46136</v>
      </c>
      <c r="L91" s="31">
        <v>46136</v>
      </c>
      <c r="P91" s="1" t="s">
        <v>379</v>
      </c>
      <c r="Q91" s="1" t="s">
        <v>379</v>
      </c>
      <c r="T91" s="1">
        <v>5701</v>
      </c>
      <c r="U91" s="1" t="s">
        <v>381</v>
      </c>
      <c r="AA91" s="1" t="s">
        <v>5</v>
      </c>
      <c r="AC91" s="1">
        <v>912</v>
      </c>
      <c r="AD91" s="31">
        <v>46221</v>
      </c>
      <c r="AE91" s="31">
        <v>46161</v>
      </c>
      <c r="AF91" s="1">
        <v>102</v>
      </c>
      <c r="AG91" s="1">
        <v>102</v>
      </c>
      <c r="AH91" s="1" t="s">
        <v>519</v>
      </c>
      <c r="AI91" s="1" t="b">
        <v>0</v>
      </c>
      <c r="AJ91" s="1" t="s">
        <v>564</v>
      </c>
      <c r="AK91" s="1" t="str">
        <f>IF(ISBLANK(SharePointTasks[[#This Row],[Operational ActionId]]), SharePointTasks[[#This Row],[Title]], SharePointTasks[[#This Row],[Title]] &amp; " (" &amp; VLOOKUP(SharePointTasks[[#This Row],[Operational ActionId]], Operational_Actions[], 6, FALSE) &amp; ")")</f>
        <v>ANZAC Day</v>
      </c>
      <c r="AM91" s="1" t="str">
        <v>ANZAC Day</v>
      </c>
    </row>
    <row r="92" spans="1:39" x14ac:dyDescent="0.2">
      <c r="A92" s="1">
        <v>0</v>
      </c>
      <c r="B92" s="1">
        <v>990</v>
      </c>
      <c r="D92" s="1" t="s">
        <v>348</v>
      </c>
      <c r="E92" s="1" t="s">
        <v>565</v>
      </c>
      <c r="F92" s="1" t="s">
        <v>566</v>
      </c>
      <c r="G92" s="1" t="s">
        <v>378</v>
      </c>
      <c r="J92" s="1" t="s">
        <v>87</v>
      </c>
      <c r="K92" s="31">
        <v>46137</v>
      </c>
      <c r="L92" s="31">
        <v>46137</v>
      </c>
      <c r="P92" s="1" t="s">
        <v>379</v>
      </c>
      <c r="Q92" s="1" t="s">
        <v>379</v>
      </c>
      <c r="S92" s="1" t="s">
        <v>129</v>
      </c>
      <c r="T92" s="1">
        <v>5780</v>
      </c>
      <c r="U92" s="1" t="s">
        <v>381</v>
      </c>
      <c r="Z92" s="1" t="s">
        <v>413</v>
      </c>
      <c r="AA92" s="1" t="s">
        <v>5</v>
      </c>
      <c r="AC92" s="1">
        <v>990</v>
      </c>
      <c r="AD92" s="31">
        <v>46221</v>
      </c>
      <c r="AE92" s="31">
        <v>46161</v>
      </c>
      <c r="AF92" s="1">
        <v>102</v>
      </c>
      <c r="AG92" s="1">
        <v>102</v>
      </c>
      <c r="AH92" s="1" t="s">
        <v>382</v>
      </c>
      <c r="AI92" s="1" t="b">
        <v>0</v>
      </c>
      <c r="AJ92" s="1" t="s">
        <v>567</v>
      </c>
      <c r="AK92" s="1" t="str">
        <f>IF(ISBLANK(SharePointTasks[[#This Row],[Operational ActionId]]), SharePointTasks[[#This Row],[Title]], SharePointTasks[[#This Row],[Title]] &amp; " (" &amp; VLOOKUP(SharePointTasks[[#This Row],[Operational ActionId]], Operational_Actions[], 6, FALSE) &amp; ")")</f>
        <v>Joey Leader Online Forum</v>
      </c>
      <c r="AM92" s="1" t="str">
        <v>Joey Leader Online Forum</v>
      </c>
    </row>
    <row r="93" spans="1:39" x14ac:dyDescent="0.2">
      <c r="A93" s="1">
        <v>0</v>
      </c>
      <c r="B93" s="1">
        <v>941</v>
      </c>
      <c r="D93" s="1" t="s">
        <v>348</v>
      </c>
      <c r="E93" s="1" t="s">
        <v>418</v>
      </c>
      <c r="F93" s="1" t="s">
        <v>419</v>
      </c>
      <c r="G93" s="1" t="s">
        <v>378</v>
      </c>
      <c r="J93" s="1" t="s">
        <v>87</v>
      </c>
      <c r="K93" s="31">
        <v>46139</v>
      </c>
      <c r="L93" s="31">
        <v>46139</v>
      </c>
      <c r="P93" s="1" t="s">
        <v>379</v>
      </c>
      <c r="Q93" s="1" t="s">
        <v>379</v>
      </c>
      <c r="T93" s="1">
        <v>5731</v>
      </c>
      <c r="U93" s="1" t="s">
        <v>381</v>
      </c>
      <c r="AA93" s="1" t="s">
        <v>5</v>
      </c>
      <c r="AC93" s="1">
        <v>941</v>
      </c>
      <c r="AD93" s="31">
        <v>46221</v>
      </c>
      <c r="AE93" s="31">
        <v>46161</v>
      </c>
      <c r="AF93" s="1">
        <v>102</v>
      </c>
      <c r="AG93" s="1">
        <v>102</v>
      </c>
      <c r="AH93" s="1" t="s">
        <v>519</v>
      </c>
      <c r="AI93" s="1" t="b">
        <v>0</v>
      </c>
      <c r="AJ93" s="1" t="s">
        <v>568</v>
      </c>
      <c r="AK93" s="1" t="str">
        <f>IF(ISBLANK(SharePointTasks[[#This Row],[Operational ActionId]]), SharePointTasks[[#This Row],[Title]], SharePointTasks[[#This Row],[Title]] &amp; " (" &amp; VLOOKUP(SharePointTasks[[#This Row],[Operational ActionId]], Operational_Actions[], 6, FALSE) &amp; ")")</f>
        <v>Branch Executive Committee</v>
      </c>
      <c r="AM93" s="1" t="str">
        <v>Branch Executive Committee</v>
      </c>
    </row>
    <row r="94" spans="1:39" x14ac:dyDescent="0.2">
      <c r="A94" s="1">
        <v>0</v>
      </c>
      <c r="B94" s="1">
        <v>900</v>
      </c>
      <c r="D94" s="1" t="s">
        <v>348</v>
      </c>
      <c r="E94" s="1" t="s">
        <v>569</v>
      </c>
      <c r="F94" s="1" t="s">
        <v>416</v>
      </c>
      <c r="G94" s="1" t="s">
        <v>378</v>
      </c>
      <c r="J94" s="1" t="s">
        <v>87</v>
      </c>
      <c r="K94" s="31">
        <v>46142</v>
      </c>
      <c r="L94" s="31">
        <v>46145</v>
      </c>
      <c r="P94" s="1" t="s">
        <v>379</v>
      </c>
      <c r="Q94" s="1" t="s">
        <v>379</v>
      </c>
      <c r="T94" s="1">
        <v>5689</v>
      </c>
      <c r="U94" s="1" t="s">
        <v>381</v>
      </c>
      <c r="AA94" s="1" t="s">
        <v>5</v>
      </c>
      <c r="AC94" s="1">
        <v>900</v>
      </c>
      <c r="AD94" s="31">
        <v>46221</v>
      </c>
      <c r="AE94" s="31">
        <v>46161</v>
      </c>
      <c r="AF94" s="1">
        <v>102</v>
      </c>
      <c r="AG94" s="1">
        <v>102</v>
      </c>
      <c r="AH94" s="1" t="s">
        <v>519</v>
      </c>
      <c r="AI94" s="1" t="b">
        <v>0</v>
      </c>
      <c r="AJ94" s="1" t="s">
        <v>570</v>
      </c>
      <c r="AK94" s="1" t="str">
        <f>IF(ISBLANK(SharePointTasks[[#This Row],[Operational ActionId]]), SharePointTasks[[#This Row],[Title]], SharePointTasks[[#This Row],[Title]] &amp; " (" &amp; VLOOKUP(SharePointTasks[[#This Row],[Operational ActionId]], Operational_Actions[], 6, FALSE) &amp; ")")</f>
        <v>TNT (Test'N'Track) Moot</v>
      </c>
      <c r="AM94" s="1" t="str">
        <v>TNT (Test'N'Track) Moot</v>
      </c>
    </row>
    <row r="95" spans="1:39" x14ac:dyDescent="0.2">
      <c r="A95" s="1">
        <v>0</v>
      </c>
      <c r="B95" s="1">
        <v>1085</v>
      </c>
      <c r="D95" s="1" t="s">
        <v>348</v>
      </c>
      <c r="E95" s="1" t="s">
        <v>421</v>
      </c>
      <c r="F95" s="1" t="s">
        <v>422</v>
      </c>
      <c r="G95" s="1" t="s">
        <v>378</v>
      </c>
      <c r="J95" s="1" t="s">
        <v>87</v>
      </c>
      <c r="K95" s="31">
        <v>46143</v>
      </c>
      <c r="L95" s="31">
        <v>46143</v>
      </c>
      <c r="P95" s="1" t="s">
        <v>379</v>
      </c>
      <c r="Q95" s="1" t="s">
        <v>379</v>
      </c>
      <c r="S95" s="1" t="s">
        <v>380</v>
      </c>
      <c r="T95" s="1">
        <v>7564</v>
      </c>
      <c r="U95" s="1" t="s">
        <v>381</v>
      </c>
      <c r="AA95" s="1" t="s">
        <v>5</v>
      </c>
      <c r="AC95" s="1">
        <v>1085</v>
      </c>
      <c r="AD95" s="31">
        <v>46221</v>
      </c>
      <c r="AE95" s="31">
        <v>46161</v>
      </c>
      <c r="AF95" s="1">
        <v>102</v>
      </c>
      <c r="AG95" s="1">
        <v>102</v>
      </c>
      <c r="AH95" s="1" t="s">
        <v>519</v>
      </c>
      <c r="AI95" s="1" t="b">
        <v>0</v>
      </c>
      <c r="AJ95" s="1" t="s">
        <v>571</v>
      </c>
      <c r="AK95" s="1" t="str">
        <f>IF(ISBLANK(SharePointTasks[[#This Row],[Operational ActionId]]), SharePointTasks[[#This Row],[Title]], SharePointTasks[[#This Row],[Title]] &amp; " (" &amp; VLOOKUP(SharePointTasks[[#This Row],[Operational ActionId]], Operational_Actions[], 6, FALSE) &amp; ")")</f>
        <v>Cycling - Off Road - SP/TP (Brisbane)</v>
      </c>
      <c r="AM95" s="1" t="str">
        <v>Cycling - Off Road - SP/TP (Brisbane)</v>
      </c>
    </row>
    <row r="96" spans="1:39" x14ac:dyDescent="0.2">
      <c r="A96" s="1">
        <v>0</v>
      </c>
      <c r="B96" s="1">
        <v>923</v>
      </c>
      <c r="D96" s="1" t="s">
        <v>348</v>
      </c>
      <c r="E96" s="1" t="s">
        <v>324</v>
      </c>
      <c r="F96" s="1" t="s">
        <v>416</v>
      </c>
      <c r="G96" s="1" t="s">
        <v>378</v>
      </c>
      <c r="J96" s="1" t="s">
        <v>87</v>
      </c>
      <c r="K96" s="31">
        <v>46145</v>
      </c>
      <c r="L96" s="31">
        <v>46145</v>
      </c>
      <c r="P96" s="1" t="s">
        <v>379</v>
      </c>
      <c r="Q96" s="1" t="s">
        <v>379</v>
      </c>
      <c r="T96" s="1">
        <v>5712</v>
      </c>
      <c r="U96" s="1" t="s">
        <v>381</v>
      </c>
      <c r="AA96" s="1" t="s">
        <v>5</v>
      </c>
      <c r="AC96" s="1">
        <v>923</v>
      </c>
      <c r="AD96" s="31">
        <v>46221</v>
      </c>
      <c r="AE96" s="31">
        <v>46161</v>
      </c>
      <c r="AF96" s="1">
        <v>102</v>
      </c>
      <c r="AG96" s="1">
        <v>102</v>
      </c>
      <c r="AH96" s="1" t="s">
        <v>519</v>
      </c>
      <c r="AI96" s="1" t="b">
        <v>0</v>
      </c>
      <c r="AJ96" s="1" t="s">
        <v>572</v>
      </c>
      <c r="AK96" s="1" t="str">
        <f>IF(ISBLANK(SharePointTasks[[#This Row],[Operational ActionId]]), SharePointTasks[[#This Row],[Title]], SharePointTasks[[#This Row],[Title]] &amp; " (" &amp; VLOOKUP(SharePointTasks[[#This Row],[Operational ActionId]], Operational_Actions[], 6, FALSE) &amp; ")")</f>
        <v>Labour Day</v>
      </c>
      <c r="AM96" s="1" t="str">
        <v>Labour Day</v>
      </c>
    </row>
    <row r="97" spans="1:39" x14ac:dyDescent="0.2">
      <c r="A97" s="1">
        <v>0</v>
      </c>
      <c r="B97" s="1">
        <v>1040</v>
      </c>
      <c r="D97" s="1" t="s">
        <v>348</v>
      </c>
      <c r="E97" s="1" t="s">
        <v>573</v>
      </c>
      <c r="F97" s="1" t="s">
        <v>574</v>
      </c>
      <c r="G97" s="1" t="s">
        <v>378</v>
      </c>
      <c r="J97" s="1" t="s">
        <v>87</v>
      </c>
      <c r="K97" s="31">
        <v>46147</v>
      </c>
      <c r="L97" s="31">
        <v>46147</v>
      </c>
      <c r="P97" s="1" t="s">
        <v>379</v>
      </c>
      <c r="Q97" s="1" t="s">
        <v>379</v>
      </c>
      <c r="S97" s="1" t="s">
        <v>380</v>
      </c>
      <c r="T97" s="1">
        <v>7374</v>
      </c>
      <c r="U97" s="1" t="s">
        <v>381</v>
      </c>
      <c r="AA97" s="1" t="s">
        <v>5</v>
      </c>
      <c r="AC97" s="1">
        <v>1040</v>
      </c>
      <c r="AD97" s="31">
        <v>46221</v>
      </c>
      <c r="AE97" s="31">
        <v>46161</v>
      </c>
      <c r="AF97" s="1">
        <v>102</v>
      </c>
      <c r="AG97" s="1">
        <v>102</v>
      </c>
      <c r="AH97" s="1" t="s">
        <v>519</v>
      </c>
      <c r="AI97" s="1" t="b">
        <v>0</v>
      </c>
      <c r="AJ97" s="1" t="s">
        <v>575</v>
      </c>
      <c r="AK97" s="1" t="str">
        <f>IF(ISBLANK(SharePointTasks[[#This Row],[Operational ActionId]]), SharePointTasks[[#This Row],[Title]], SharePointTasks[[#This Row],[Title]] &amp; " (" &amp; VLOOKUP(SharePointTasks[[#This Row],[Operational ActionId]], Operational_Actions[], 6, FALSE) &amp; ")")</f>
        <v>Scouting Essentials (Rockhampton)</v>
      </c>
      <c r="AM97" s="1" t="str">
        <v>Scouting Essentials (Rockhampton)</v>
      </c>
    </row>
    <row r="98" spans="1:39" x14ac:dyDescent="0.2">
      <c r="A98" s="1">
        <v>0</v>
      </c>
      <c r="B98" s="1">
        <v>1041</v>
      </c>
      <c r="D98" s="1" t="s">
        <v>348</v>
      </c>
      <c r="E98" s="1" t="s">
        <v>576</v>
      </c>
      <c r="F98" s="1" t="s">
        <v>577</v>
      </c>
      <c r="G98" s="1" t="s">
        <v>378</v>
      </c>
      <c r="J98" s="1" t="s">
        <v>87</v>
      </c>
      <c r="K98" s="31">
        <v>46147</v>
      </c>
      <c r="L98" s="31">
        <v>46147</v>
      </c>
      <c r="P98" s="1" t="s">
        <v>379</v>
      </c>
      <c r="Q98" s="1" t="s">
        <v>379</v>
      </c>
      <c r="S98" s="1" t="s">
        <v>380</v>
      </c>
      <c r="T98" s="1">
        <v>7375</v>
      </c>
      <c r="U98" s="1" t="s">
        <v>381</v>
      </c>
      <c r="AA98" s="1" t="s">
        <v>5</v>
      </c>
      <c r="AC98" s="1">
        <v>1041</v>
      </c>
      <c r="AD98" s="31">
        <v>46221</v>
      </c>
      <c r="AE98" s="31">
        <v>46161</v>
      </c>
      <c r="AF98" s="1">
        <v>102</v>
      </c>
      <c r="AG98" s="1">
        <v>102</v>
      </c>
      <c r="AH98" s="1" t="s">
        <v>519</v>
      </c>
      <c r="AI98" s="1" t="b">
        <v>0</v>
      </c>
      <c r="AJ98" s="1" t="s">
        <v>578</v>
      </c>
      <c r="AK98" s="1" t="str">
        <f>IF(ISBLANK(SharePointTasks[[#This Row],[Operational ActionId]]), SharePointTasks[[#This Row],[Title]], SharePointTasks[[#This Row],[Title]] &amp; " (" &amp; VLOOKUP(SharePointTasks[[#This Row],[Operational ActionId]], Operational_Actions[], 6, FALSE) &amp; ")")</f>
        <v>Scouting Adventure (FNQ)</v>
      </c>
      <c r="AM98" s="1" t="str">
        <v>Scouting Adventure (FNQ)</v>
      </c>
    </row>
    <row r="99" spans="1:39" x14ac:dyDescent="0.2">
      <c r="A99" s="1">
        <v>0</v>
      </c>
      <c r="B99" s="1">
        <v>1026</v>
      </c>
      <c r="D99" s="1" t="s">
        <v>348</v>
      </c>
      <c r="E99" s="1" t="s">
        <v>386</v>
      </c>
      <c r="F99" s="1" t="s">
        <v>579</v>
      </c>
      <c r="G99" s="1" t="s">
        <v>378</v>
      </c>
      <c r="J99" s="1" t="s">
        <v>87</v>
      </c>
      <c r="K99" s="31">
        <v>46149</v>
      </c>
      <c r="L99" s="31">
        <v>46149</v>
      </c>
      <c r="P99" s="1" t="s">
        <v>379</v>
      </c>
      <c r="Q99" s="1" t="s">
        <v>379</v>
      </c>
      <c r="T99" s="1">
        <v>7239</v>
      </c>
      <c r="U99" s="1" t="s">
        <v>381</v>
      </c>
      <c r="AA99" s="1" t="s">
        <v>5</v>
      </c>
      <c r="AC99" s="1">
        <v>1026</v>
      </c>
      <c r="AD99" s="31">
        <v>46221</v>
      </c>
      <c r="AE99" s="31">
        <v>46161</v>
      </c>
      <c r="AF99" s="1">
        <v>102</v>
      </c>
      <c r="AG99" s="1">
        <v>102</v>
      </c>
      <c r="AH99" s="1" t="s">
        <v>519</v>
      </c>
      <c r="AI99" s="1" t="b">
        <v>0</v>
      </c>
      <c r="AJ99" s="1" t="s">
        <v>581</v>
      </c>
      <c r="AK99" s="1" t="str">
        <f>IF(ISBLANK(SharePointTasks[[#This Row],[Operational ActionId]]), SharePointTasks[[#This Row],[Title]], SharePointTasks[[#This Row],[Title]] &amp; " (" &amp; VLOOKUP(SharePointTasks[[#This Row],[Operational ActionId]], Operational_Actions[], 6, FALSE) &amp; ")")</f>
        <v>Basic Water Rescue (FNQ)</v>
      </c>
      <c r="AM99" s="1" t="str">
        <v>Basic Water Rescue (FNQ)</v>
      </c>
    </row>
    <row r="100" spans="1:39" x14ac:dyDescent="0.2">
      <c r="A100" s="1">
        <v>0</v>
      </c>
      <c r="B100" s="1">
        <v>1049</v>
      </c>
      <c r="D100" s="1" t="s">
        <v>348</v>
      </c>
      <c r="E100" s="1" t="s">
        <v>386</v>
      </c>
      <c r="F100" s="1" t="s">
        <v>579</v>
      </c>
      <c r="G100" s="1" t="s">
        <v>378</v>
      </c>
      <c r="J100" s="1" t="s">
        <v>87</v>
      </c>
      <c r="K100" s="31">
        <v>46149</v>
      </c>
      <c r="L100" s="31">
        <v>46149</v>
      </c>
      <c r="P100" s="1" t="s">
        <v>379</v>
      </c>
      <c r="Q100" s="1" t="s">
        <v>379</v>
      </c>
      <c r="S100" s="1" t="s">
        <v>380</v>
      </c>
      <c r="T100" s="1">
        <v>7387</v>
      </c>
      <c r="U100" s="1" t="s">
        <v>381</v>
      </c>
      <c r="AA100" s="1" t="s">
        <v>5</v>
      </c>
      <c r="AC100" s="1">
        <v>1049</v>
      </c>
      <c r="AD100" s="31">
        <v>46221</v>
      </c>
      <c r="AE100" s="31">
        <v>46161</v>
      </c>
      <c r="AF100" s="1">
        <v>102</v>
      </c>
      <c r="AG100" s="1">
        <v>102</v>
      </c>
      <c r="AH100" s="1" t="s">
        <v>519</v>
      </c>
      <c r="AI100" s="1" t="b">
        <v>0</v>
      </c>
      <c r="AJ100" s="1" t="s">
        <v>580</v>
      </c>
      <c r="AK100" s="1" t="str">
        <f>IF(ISBLANK(SharePointTasks[[#This Row],[Operational ActionId]]), SharePointTasks[[#This Row],[Title]], SharePointTasks[[#This Row],[Title]] &amp; " (" &amp; VLOOKUP(SharePointTasks[[#This Row],[Operational ActionId]], Operational_Actions[], 6, FALSE) &amp; ")")</f>
        <v>Basic Water Rescue (FNQ)</v>
      </c>
      <c r="AM100" s="1" t="str">
        <v>Basic Water Rescue (FNQ)</v>
      </c>
    </row>
    <row r="101" spans="1:39" x14ac:dyDescent="0.2">
      <c r="A101" s="1">
        <v>0</v>
      </c>
      <c r="B101" s="1">
        <v>1086</v>
      </c>
      <c r="D101" s="1" t="s">
        <v>348</v>
      </c>
      <c r="E101" s="1" t="s">
        <v>582</v>
      </c>
      <c r="F101" s="1" t="s">
        <v>583</v>
      </c>
      <c r="G101" s="1" t="s">
        <v>378</v>
      </c>
      <c r="J101" s="1" t="s">
        <v>87</v>
      </c>
      <c r="K101" s="31">
        <v>46150</v>
      </c>
      <c r="L101" s="31">
        <v>46151</v>
      </c>
      <c r="P101" s="1" t="s">
        <v>379</v>
      </c>
      <c r="Q101" s="1" t="s">
        <v>379</v>
      </c>
      <c r="S101" s="1" t="s">
        <v>380</v>
      </c>
      <c r="T101" s="1">
        <v>7565</v>
      </c>
      <c r="U101" s="1" t="s">
        <v>381</v>
      </c>
      <c r="AA101" s="1" t="s">
        <v>5</v>
      </c>
      <c r="AC101" s="1">
        <v>1086</v>
      </c>
      <c r="AD101" s="31">
        <v>46221</v>
      </c>
      <c r="AE101" s="31">
        <v>46161</v>
      </c>
      <c r="AF101" s="1">
        <v>102</v>
      </c>
      <c r="AG101" s="1">
        <v>102</v>
      </c>
      <c r="AH101" s="1" t="s">
        <v>519</v>
      </c>
      <c r="AI101" s="1" t="b">
        <v>0</v>
      </c>
      <c r="AJ101" s="1" t="s">
        <v>584</v>
      </c>
      <c r="AK101" s="1" t="str">
        <f>IF(ISBLANK(SharePointTasks[[#This Row],[Operational ActionId]]), SharePointTasks[[#This Row],[Title]], SharePointTasks[[#This Row],[Title]] &amp; " (" &amp; VLOOKUP(SharePointTasks[[#This Row],[Operational ActionId]], Operational_Actions[], 6, FALSE) &amp; ")")</f>
        <v>Vertical - Abseiling Natural TP (Wide Bay)</v>
      </c>
      <c r="AM101" s="1" t="str">
        <v>Vertical - Abseiling Natural TP (Wide Bay)</v>
      </c>
    </row>
    <row r="102" spans="1:39" x14ac:dyDescent="0.2">
      <c r="A102" s="1">
        <v>0</v>
      </c>
      <c r="B102" s="1">
        <v>1087</v>
      </c>
      <c r="D102" s="1" t="s">
        <v>348</v>
      </c>
      <c r="E102" s="1" t="s">
        <v>585</v>
      </c>
      <c r="F102" s="1" t="s">
        <v>586</v>
      </c>
      <c r="G102" s="1" t="s">
        <v>378</v>
      </c>
      <c r="J102" s="1" t="s">
        <v>87</v>
      </c>
      <c r="K102" s="31">
        <v>46156</v>
      </c>
      <c r="L102" s="31">
        <v>46158</v>
      </c>
      <c r="P102" s="1" t="s">
        <v>379</v>
      </c>
      <c r="Q102" s="1" t="s">
        <v>379</v>
      </c>
      <c r="S102" s="1" t="s">
        <v>380</v>
      </c>
      <c r="T102" s="1">
        <v>7566</v>
      </c>
      <c r="U102" s="1" t="s">
        <v>381</v>
      </c>
      <c r="AA102" s="1" t="s">
        <v>5</v>
      </c>
      <c r="AC102" s="1">
        <v>1087</v>
      </c>
      <c r="AD102" s="31">
        <v>46221</v>
      </c>
      <c r="AE102" s="31">
        <v>46161</v>
      </c>
      <c r="AF102" s="1">
        <v>102</v>
      </c>
      <c r="AG102" s="1">
        <v>102</v>
      </c>
      <c r="AH102" s="1" t="s">
        <v>519</v>
      </c>
      <c r="AI102" s="1" t="b">
        <v>0</v>
      </c>
      <c r="AJ102" s="1" t="s">
        <v>587</v>
      </c>
      <c r="AK102" s="1" t="str">
        <f>IF(ISBLANK(SharePointTasks[[#This Row],[Operational ActionId]]), SharePointTasks[[#This Row],[Title]], SharePointTasks[[#This Row],[Title]] &amp; " (" &amp; VLOOKUP(SharePointTasks[[#This Row],[Operational ActionId]], Operational_Actions[], 6, FALSE) &amp; ")")</f>
        <v>Scouting Adventure (Bundaberg)</v>
      </c>
      <c r="AM102" s="1" t="str">
        <v>Scouting Adventure (Bundaberg)</v>
      </c>
    </row>
    <row r="103" spans="1:39" x14ac:dyDescent="0.2">
      <c r="A103" s="1">
        <v>0</v>
      </c>
      <c r="B103" s="1">
        <v>1088</v>
      </c>
      <c r="D103" s="1" t="s">
        <v>348</v>
      </c>
      <c r="E103" s="1" t="s">
        <v>588</v>
      </c>
      <c r="F103" s="1" t="s">
        <v>589</v>
      </c>
      <c r="G103" s="1" t="s">
        <v>378</v>
      </c>
      <c r="J103" s="1" t="s">
        <v>87</v>
      </c>
      <c r="K103" s="31">
        <v>46156</v>
      </c>
      <c r="L103" s="31">
        <v>46158</v>
      </c>
      <c r="P103" s="1" t="s">
        <v>379</v>
      </c>
      <c r="Q103" s="1" t="s">
        <v>379</v>
      </c>
      <c r="S103" s="1" t="s">
        <v>380</v>
      </c>
      <c r="T103" s="1">
        <v>7567</v>
      </c>
      <c r="U103" s="1" t="s">
        <v>381</v>
      </c>
      <c r="AA103" s="1" t="s">
        <v>5</v>
      </c>
      <c r="AC103" s="1">
        <v>1088</v>
      </c>
      <c r="AD103" s="31">
        <v>46221</v>
      </c>
      <c r="AE103" s="31">
        <v>46161</v>
      </c>
      <c r="AF103" s="1">
        <v>102</v>
      </c>
      <c r="AG103" s="1">
        <v>102</v>
      </c>
      <c r="AH103" s="1" t="s">
        <v>519</v>
      </c>
      <c r="AI103" s="1" t="b">
        <v>0</v>
      </c>
      <c r="AJ103" s="1" t="s">
        <v>590</v>
      </c>
      <c r="AK103" s="1" t="str">
        <f>IF(ISBLANK(SharePointTasks[[#This Row],[Operational ActionId]]), SharePointTasks[[#This Row],[Title]], SharePointTasks[[#This Row],[Title]] &amp; " (" &amp; VLOOKUP(SharePointTasks[[#This Row],[Operational ActionId]], Operational_Actions[], 6, FALSE) &amp; ")")</f>
        <v>Scouting Essentials (Townsville)</v>
      </c>
      <c r="AM103" s="1" t="str">
        <v>Scouting Essentials (Townsville)</v>
      </c>
    </row>
    <row r="104" spans="1:39" x14ac:dyDescent="0.2">
      <c r="A104" s="1">
        <v>0</v>
      </c>
      <c r="B104" s="1">
        <v>1089</v>
      </c>
      <c r="D104" s="1" t="s">
        <v>348</v>
      </c>
      <c r="E104" s="1" t="s">
        <v>591</v>
      </c>
      <c r="F104" s="1" t="s">
        <v>592</v>
      </c>
      <c r="G104" s="1" t="s">
        <v>378</v>
      </c>
      <c r="J104" s="1" t="s">
        <v>87</v>
      </c>
      <c r="K104" s="31">
        <v>46156</v>
      </c>
      <c r="L104" s="31">
        <v>46158</v>
      </c>
      <c r="P104" s="1" t="s">
        <v>379</v>
      </c>
      <c r="Q104" s="1" t="s">
        <v>379</v>
      </c>
      <c r="S104" s="1" t="s">
        <v>380</v>
      </c>
      <c r="T104" s="1">
        <v>7568</v>
      </c>
      <c r="U104" s="1" t="s">
        <v>381</v>
      </c>
      <c r="AA104" s="1" t="s">
        <v>5</v>
      </c>
      <c r="AC104" s="1">
        <v>1089</v>
      </c>
      <c r="AD104" s="31">
        <v>46221</v>
      </c>
      <c r="AE104" s="31">
        <v>46161</v>
      </c>
      <c r="AF104" s="1">
        <v>102</v>
      </c>
      <c r="AG104" s="1">
        <v>102</v>
      </c>
      <c r="AH104" s="1" t="s">
        <v>519</v>
      </c>
      <c r="AI104" s="1" t="b">
        <v>0</v>
      </c>
      <c r="AJ104" s="1" t="s">
        <v>593</v>
      </c>
      <c r="AK104" s="1" t="str">
        <f>IF(ISBLANK(SharePointTasks[[#This Row],[Operational ActionId]]), SharePointTasks[[#This Row],[Title]], SharePointTasks[[#This Row],[Title]] &amp; " (" &amp; VLOOKUP(SharePointTasks[[#This Row],[Operational ActionId]], Operational_Actions[], 6, FALSE) &amp; ")")</f>
        <v>Scouting Essentials (Toowoomba)</v>
      </c>
      <c r="AM104" s="1" t="str">
        <v>Scouting Essentials (Toowoomba)</v>
      </c>
    </row>
    <row r="105" spans="1:39" x14ac:dyDescent="0.2">
      <c r="A105" s="1">
        <v>0</v>
      </c>
      <c r="B105" s="1">
        <v>995</v>
      </c>
      <c r="D105" s="1" t="s">
        <v>348</v>
      </c>
      <c r="E105" s="1" t="s">
        <v>405</v>
      </c>
      <c r="F105" s="1" t="s">
        <v>406</v>
      </c>
      <c r="G105" s="1" t="s">
        <v>378</v>
      </c>
      <c r="J105" s="1" t="s">
        <v>87</v>
      </c>
      <c r="K105" s="31">
        <v>46158</v>
      </c>
      <c r="L105" s="31">
        <v>46158</v>
      </c>
      <c r="P105" s="1" t="s">
        <v>379</v>
      </c>
      <c r="Q105" s="1" t="s">
        <v>379</v>
      </c>
      <c r="T105" s="1">
        <v>5785</v>
      </c>
      <c r="U105" s="1" t="s">
        <v>381</v>
      </c>
      <c r="AA105" s="1" t="s">
        <v>5</v>
      </c>
      <c r="AC105" s="1">
        <v>995</v>
      </c>
      <c r="AD105" s="31">
        <v>46221</v>
      </c>
      <c r="AE105" s="31">
        <v>46161</v>
      </c>
      <c r="AF105" s="1">
        <v>102</v>
      </c>
      <c r="AG105" s="1">
        <v>102</v>
      </c>
      <c r="AH105" s="1" t="s">
        <v>519</v>
      </c>
      <c r="AI105" s="1" t="b">
        <v>0</v>
      </c>
      <c r="AJ105" s="1" t="s">
        <v>594</v>
      </c>
      <c r="AK105" s="1" t="str">
        <f>IF(ISBLANK(SharePointTasks[[#This Row],[Operational ActionId]]), SharePointTasks[[#This Row],[Title]], SharePointTasks[[#This Row],[Title]] &amp; " (" &amp; VLOOKUP(SharePointTasks[[#This Row],[Operational ActionId]], Operational_Actions[], 6, FALSE) &amp; ")")</f>
        <v>Queensland Branch Rover Council Meeting</v>
      </c>
      <c r="AM105" s="1" t="str">
        <v>Queensland Branch Rover Council Meeting</v>
      </c>
    </row>
    <row r="106" spans="1:39" x14ac:dyDescent="0.2">
      <c r="A106" s="1">
        <v>0</v>
      </c>
      <c r="B106" s="1">
        <v>954</v>
      </c>
      <c r="D106" s="1" t="s">
        <v>348</v>
      </c>
      <c r="E106" s="1" t="s">
        <v>409</v>
      </c>
      <c r="F106" s="1" t="s">
        <v>410</v>
      </c>
      <c r="G106" s="1" t="s">
        <v>378</v>
      </c>
      <c r="J106" s="1" t="s">
        <v>87</v>
      </c>
      <c r="K106" s="31">
        <v>46159</v>
      </c>
      <c r="L106" s="31">
        <v>46159</v>
      </c>
      <c r="P106" s="1" t="s">
        <v>379</v>
      </c>
      <c r="Q106" s="1" t="s">
        <v>379</v>
      </c>
      <c r="T106" s="1">
        <v>5744</v>
      </c>
      <c r="U106" s="1" t="s">
        <v>381</v>
      </c>
      <c r="AA106" s="1" t="s">
        <v>5</v>
      </c>
      <c r="AC106" s="1">
        <v>954</v>
      </c>
      <c r="AD106" s="31">
        <v>46221</v>
      </c>
      <c r="AE106" s="31">
        <v>46161</v>
      </c>
      <c r="AF106" s="1">
        <v>102</v>
      </c>
      <c r="AG106" s="1">
        <v>102</v>
      </c>
      <c r="AH106" s="1" t="s">
        <v>519</v>
      </c>
      <c r="AI106" s="1" t="b">
        <v>0</v>
      </c>
      <c r="AJ106" s="1" t="s">
        <v>595</v>
      </c>
      <c r="AK106" s="1" t="str">
        <f>IF(ISBLANK(SharePointTasks[[#This Row],[Operational ActionId]]), SharePointTasks[[#This Row],[Title]], SharePointTasks[[#This Row],[Title]] &amp; " (" &amp; VLOOKUP(SharePointTasks[[#This Row],[Operational ActionId]], Operational_Actions[], 6, FALSE) &amp; ")")</f>
        <v>Branch Finance Committee</v>
      </c>
      <c r="AM106" s="1" t="str">
        <v>Branch Finance Committee</v>
      </c>
    </row>
    <row r="107" spans="1:39" x14ac:dyDescent="0.2">
      <c r="A107" s="1">
        <v>0</v>
      </c>
      <c r="B107" s="1">
        <v>974</v>
      </c>
      <c r="D107" s="1" t="s">
        <v>348</v>
      </c>
      <c r="E107" s="1" t="s">
        <v>440</v>
      </c>
      <c r="F107" s="1" t="s">
        <v>406</v>
      </c>
      <c r="G107" s="1" t="s">
        <v>378</v>
      </c>
      <c r="J107" s="1" t="s">
        <v>87</v>
      </c>
      <c r="K107" s="31">
        <v>46159</v>
      </c>
      <c r="L107" s="31">
        <v>46159</v>
      </c>
      <c r="P107" s="1" t="s">
        <v>379</v>
      </c>
      <c r="Q107" s="1" t="s">
        <v>379</v>
      </c>
      <c r="T107" s="1">
        <v>5764</v>
      </c>
      <c r="U107" s="1" t="s">
        <v>381</v>
      </c>
      <c r="Z107" s="1" t="s">
        <v>413</v>
      </c>
      <c r="AA107" s="1" t="s">
        <v>5</v>
      </c>
      <c r="AC107" s="1">
        <v>974</v>
      </c>
      <c r="AD107" s="31">
        <v>46221</v>
      </c>
      <c r="AE107" s="31">
        <v>46161</v>
      </c>
      <c r="AF107" s="1">
        <v>102</v>
      </c>
      <c r="AG107" s="1">
        <v>102</v>
      </c>
      <c r="AH107" s="1" t="s">
        <v>382</v>
      </c>
      <c r="AI107" s="1" t="b">
        <v>0</v>
      </c>
      <c r="AJ107" s="1" t="s">
        <v>596</v>
      </c>
      <c r="AK107" s="1" t="str">
        <f>IF(ISBLANK(SharePointTasks[[#This Row],[Operational ActionId]]), SharePointTasks[[#This Row],[Title]], SharePointTasks[[#This Row],[Title]] &amp; " (" &amp; VLOOKUP(SharePointTasks[[#This Row],[Operational ActionId]], Operational_Actions[], 6, FALSE) &amp; ")")</f>
        <v>Branch Scout Section Council</v>
      </c>
      <c r="AM107" s="1" t="str">
        <v>Branch Scout Section Council</v>
      </c>
    </row>
    <row r="108" spans="1:39" x14ac:dyDescent="0.2">
      <c r="A108" s="1">
        <v>0</v>
      </c>
      <c r="B108" s="1">
        <v>983</v>
      </c>
      <c r="D108" s="1" t="s">
        <v>348</v>
      </c>
      <c r="E108" s="1" t="s">
        <v>442</v>
      </c>
      <c r="F108" s="1" t="s">
        <v>406</v>
      </c>
      <c r="G108" s="1" t="s">
        <v>378</v>
      </c>
      <c r="J108" s="1" t="s">
        <v>87</v>
      </c>
      <c r="K108" s="31">
        <v>46161</v>
      </c>
      <c r="L108" s="31">
        <v>46161</v>
      </c>
      <c r="P108" s="1" t="s">
        <v>379</v>
      </c>
      <c r="Q108" s="1" t="s">
        <v>379</v>
      </c>
      <c r="T108" s="1">
        <v>5773</v>
      </c>
      <c r="U108" s="1" t="s">
        <v>381</v>
      </c>
      <c r="AA108" s="1" t="s">
        <v>5</v>
      </c>
      <c r="AC108" s="1">
        <v>983</v>
      </c>
      <c r="AD108" s="31">
        <v>46221</v>
      </c>
      <c r="AE108" s="31">
        <v>46161</v>
      </c>
      <c r="AF108" s="1">
        <v>102</v>
      </c>
      <c r="AG108" s="1">
        <v>102</v>
      </c>
      <c r="AH108" s="1" t="s">
        <v>519</v>
      </c>
      <c r="AI108" s="1" t="b">
        <v>0</v>
      </c>
      <c r="AJ108" s="1" t="s">
        <v>597</v>
      </c>
      <c r="AK108" s="1" t="str">
        <f>IF(ISBLANK(SharePointTasks[[#This Row],[Operational ActionId]]), SharePointTasks[[#This Row],[Title]], SharePointTasks[[#This Row],[Title]] &amp; " (" &amp; VLOOKUP(SharePointTasks[[#This Row],[Operational ActionId]], Operational_Actions[], 6, FALSE) &amp; ")")</f>
        <v>Branch Youth Venturer Scout Council</v>
      </c>
      <c r="AM108" s="1" t="str">
        <v>Branch Youth Venturer Scout Council</v>
      </c>
    </row>
    <row r="109" spans="1:39" x14ac:dyDescent="0.2">
      <c r="A109" s="1">
        <v>0</v>
      </c>
      <c r="B109" s="1">
        <v>931</v>
      </c>
      <c r="D109" s="1" t="s">
        <v>348</v>
      </c>
      <c r="E109" s="1" t="s">
        <v>445</v>
      </c>
      <c r="F109" s="1" t="s">
        <v>406</v>
      </c>
      <c r="G109" s="1" t="s">
        <v>378</v>
      </c>
      <c r="J109" s="1" t="s">
        <v>87</v>
      </c>
      <c r="K109" s="31">
        <v>46162</v>
      </c>
      <c r="L109" s="31">
        <v>46162</v>
      </c>
      <c r="P109" s="1" t="s">
        <v>379</v>
      </c>
      <c r="Q109" s="1" t="s">
        <v>379</v>
      </c>
      <c r="S109" s="1" t="s">
        <v>132</v>
      </c>
      <c r="T109" s="1">
        <v>5721</v>
      </c>
      <c r="U109" s="1" t="s">
        <v>381</v>
      </c>
      <c r="AA109" s="1" t="s">
        <v>5</v>
      </c>
      <c r="AC109" s="1">
        <v>931</v>
      </c>
      <c r="AD109" s="31">
        <v>46221</v>
      </c>
      <c r="AE109" s="31">
        <v>46161</v>
      </c>
      <c r="AF109" s="1">
        <v>102</v>
      </c>
      <c r="AG109" s="1">
        <v>102</v>
      </c>
      <c r="AH109" s="1" t="s">
        <v>519</v>
      </c>
      <c r="AI109" s="1" t="b">
        <v>0</v>
      </c>
      <c r="AJ109" s="1" t="s">
        <v>598</v>
      </c>
      <c r="AK109" s="1" t="str">
        <f>IF(ISBLANK(SharePointTasks[[#This Row],[Operational ActionId]]), SharePointTasks[[#This Row],[Title]], SharePointTasks[[#This Row],[Title]] &amp; " (" &amp; VLOOKUP(SharePointTasks[[#This Row],[Operational ActionId]], Operational_Actions[], 6, FALSE) &amp; ")")</f>
        <v>Branch Cub Scout Section Team Meeting</v>
      </c>
      <c r="AM109" s="1" t="str">
        <v>Branch Cub Scout Section Team Meeting</v>
      </c>
    </row>
    <row r="110" spans="1:39" x14ac:dyDescent="0.2">
      <c r="A110" s="1">
        <v>0</v>
      </c>
      <c r="B110" s="1">
        <v>1090</v>
      </c>
      <c r="D110" s="1" t="s">
        <v>348</v>
      </c>
      <c r="E110" s="1" t="s">
        <v>465</v>
      </c>
      <c r="F110" s="1" t="s">
        <v>599</v>
      </c>
      <c r="G110" s="1" t="s">
        <v>378</v>
      </c>
      <c r="J110" s="1" t="s">
        <v>87</v>
      </c>
      <c r="K110" s="31">
        <v>46162</v>
      </c>
      <c r="L110" s="31">
        <v>46162</v>
      </c>
      <c r="P110" s="1" t="s">
        <v>379</v>
      </c>
      <c r="Q110" s="1" t="s">
        <v>379</v>
      </c>
      <c r="S110" s="1" t="s">
        <v>380</v>
      </c>
      <c r="T110" s="1">
        <v>7569</v>
      </c>
      <c r="U110" s="1" t="s">
        <v>381</v>
      </c>
      <c r="AA110" s="1" t="s">
        <v>5</v>
      </c>
      <c r="AC110" s="1">
        <v>1090</v>
      </c>
      <c r="AD110" s="31">
        <v>46221</v>
      </c>
      <c r="AE110" s="31">
        <v>46161</v>
      </c>
      <c r="AF110" s="1">
        <v>102</v>
      </c>
      <c r="AG110" s="1">
        <v>102</v>
      </c>
      <c r="AH110" s="1" t="s">
        <v>519</v>
      </c>
      <c r="AI110" s="1" t="b">
        <v>0</v>
      </c>
      <c r="AJ110" s="1" t="s">
        <v>600</v>
      </c>
      <c r="AK110" s="1" t="str">
        <f>IF(ISBLANK(SharePointTasks[[#This Row],[Operational ActionId]]), SharePointTasks[[#This Row],[Title]], SharePointTasks[[#This Row],[Title]] &amp; " (" &amp; VLOOKUP(SharePointTasks[[#This Row],[Operational ActionId]], Operational_Actions[], 6, FALSE) &amp; ")")</f>
        <v>Scouting Essentials (Online)</v>
      </c>
      <c r="AM110" s="1" t="str">
        <v>Scouting Essentials (Online)</v>
      </c>
    </row>
    <row r="111" spans="1:39" x14ac:dyDescent="0.2">
      <c r="A111" s="1">
        <v>0</v>
      </c>
      <c r="B111" s="1">
        <v>1143</v>
      </c>
      <c r="D111" s="1" t="s">
        <v>348</v>
      </c>
      <c r="E111" s="1" t="s">
        <v>465</v>
      </c>
      <c r="F111" s="1" t="s">
        <v>599</v>
      </c>
      <c r="G111" s="1" t="s">
        <v>378</v>
      </c>
      <c r="J111" s="1" t="s">
        <v>87</v>
      </c>
      <c r="K111" s="31">
        <v>46162</v>
      </c>
      <c r="L111" s="31">
        <v>46162</v>
      </c>
      <c r="P111" s="1" t="s">
        <v>379</v>
      </c>
      <c r="Q111" s="1" t="s">
        <v>379</v>
      </c>
      <c r="T111" s="1">
        <v>7721</v>
      </c>
      <c r="U111" s="1" t="s">
        <v>381</v>
      </c>
      <c r="AA111" s="1" t="s">
        <v>5</v>
      </c>
      <c r="AC111" s="1">
        <v>1143</v>
      </c>
      <c r="AD111" s="31">
        <v>46221</v>
      </c>
      <c r="AE111" s="31">
        <v>46161</v>
      </c>
      <c r="AF111" s="1">
        <v>102</v>
      </c>
      <c r="AG111" s="1">
        <v>102</v>
      </c>
      <c r="AH111" s="1" t="s">
        <v>519</v>
      </c>
      <c r="AI111" s="1" t="b">
        <v>0</v>
      </c>
      <c r="AJ111" s="1" t="s">
        <v>601</v>
      </c>
      <c r="AK111" s="1" t="str">
        <f>IF(ISBLANK(SharePointTasks[[#This Row],[Operational ActionId]]), SharePointTasks[[#This Row],[Title]], SharePointTasks[[#This Row],[Title]] &amp; " (" &amp; VLOOKUP(SharePointTasks[[#This Row],[Operational ActionId]], Operational_Actions[], 6, FALSE) &amp; ")")</f>
        <v>Scouting Essentials (Online)</v>
      </c>
      <c r="AM111" s="1" t="str">
        <v>Scouting Essentials (Online)</v>
      </c>
    </row>
    <row r="112" spans="1:39" x14ac:dyDescent="0.2">
      <c r="A112" s="1">
        <v>0</v>
      </c>
      <c r="B112" s="1">
        <v>1091</v>
      </c>
      <c r="D112" s="1" t="s">
        <v>348</v>
      </c>
      <c r="E112" s="1" t="s">
        <v>431</v>
      </c>
      <c r="F112" s="1" t="s">
        <v>602</v>
      </c>
      <c r="G112" s="1" t="s">
        <v>378</v>
      </c>
      <c r="J112" s="1" t="s">
        <v>87</v>
      </c>
      <c r="K112" s="31">
        <v>46163</v>
      </c>
      <c r="L112" s="31">
        <v>46165</v>
      </c>
      <c r="P112" s="1" t="s">
        <v>379</v>
      </c>
      <c r="Q112" s="1" t="s">
        <v>379</v>
      </c>
      <c r="S112" s="1" t="s">
        <v>380</v>
      </c>
      <c r="T112" s="1">
        <v>7570</v>
      </c>
      <c r="U112" s="1" t="s">
        <v>381</v>
      </c>
      <c r="AA112" s="1" t="s">
        <v>5</v>
      </c>
      <c r="AC112" s="1">
        <v>1091</v>
      </c>
      <c r="AD112" s="31">
        <v>46221</v>
      </c>
      <c r="AE112" s="31">
        <v>46161</v>
      </c>
      <c r="AF112" s="1">
        <v>102</v>
      </c>
      <c r="AG112" s="1">
        <v>102</v>
      </c>
      <c r="AH112" s="1" t="s">
        <v>519</v>
      </c>
      <c r="AI112" s="1" t="b">
        <v>0</v>
      </c>
      <c r="AJ112" s="1" t="s">
        <v>603</v>
      </c>
      <c r="AK112" s="1" t="str">
        <f>IF(ISBLANK(SharePointTasks[[#This Row],[Operational ActionId]]), SharePointTasks[[#This Row],[Title]], SharePointTasks[[#This Row],[Title]] &amp; " (" &amp; VLOOKUP(SharePointTasks[[#This Row],[Operational ActionId]], Operational_Actions[], 6, FALSE) &amp; ")")</f>
        <v>Scouting Adventure (Brisbane)</v>
      </c>
      <c r="AM112" s="1" t="str">
        <v>Scouting Adventure (Brisbane)</v>
      </c>
    </row>
    <row r="113" spans="1:39" x14ac:dyDescent="0.2">
      <c r="A113" s="1">
        <v>0</v>
      </c>
      <c r="B113" s="1">
        <v>1092</v>
      </c>
      <c r="D113" s="1" t="s">
        <v>348</v>
      </c>
      <c r="E113" s="1" t="s">
        <v>392</v>
      </c>
      <c r="F113" s="1" t="s">
        <v>606</v>
      </c>
      <c r="G113" s="1" t="s">
        <v>378</v>
      </c>
      <c r="J113" s="1" t="s">
        <v>87</v>
      </c>
      <c r="K113" s="31">
        <v>46163</v>
      </c>
      <c r="L113" s="31">
        <v>46165</v>
      </c>
      <c r="P113" s="1" t="s">
        <v>379</v>
      </c>
      <c r="Q113" s="1" t="s">
        <v>379</v>
      </c>
      <c r="S113" s="1" t="s">
        <v>380</v>
      </c>
      <c r="T113" s="1">
        <v>7571</v>
      </c>
      <c r="U113" s="1" t="s">
        <v>381</v>
      </c>
      <c r="AA113" s="1" t="s">
        <v>5</v>
      </c>
      <c r="AC113" s="1">
        <v>1092</v>
      </c>
      <c r="AD113" s="31">
        <v>46221</v>
      </c>
      <c r="AE113" s="31">
        <v>46161</v>
      </c>
      <c r="AF113" s="1">
        <v>102</v>
      </c>
      <c r="AG113" s="1">
        <v>102</v>
      </c>
      <c r="AH113" s="1" t="s">
        <v>519</v>
      </c>
      <c r="AI113" s="1" t="b">
        <v>0</v>
      </c>
      <c r="AJ113" s="1" t="s">
        <v>607</v>
      </c>
      <c r="AK113" s="1" t="str">
        <f>IF(ISBLANK(SharePointTasks[[#This Row],[Operational ActionId]]), SharePointTasks[[#This Row],[Title]], SharePointTasks[[#This Row],[Title]] &amp; " (" &amp; VLOOKUP(SharePointTasks[[#This Row],[Operational ActionId]], Operational_Actions[], 6, FALSE) &amp; ")")</f>
        <v>Scouting Management - Group Leaders (Brisbane)</v>
      </c>
      <c r="AM113" s="1" t="str">
        <v>Scouting Management - Group Leaders (Brisbane)</v>
      </c>
    </row>
    <row r="114" spans="1:39" x14ac:dyDescent="0.2">
      <c r="A114" s="1">
        <v>0</v>
      </c>
      <c r="B114" s="1">
        <v>1093</v>
      </c>
      <c r="D114" s="1" t="s">
        <v>348</v>
      </c>
      <c r="E114" s="1" t="s">
        <v>389</v>
      </c>
      <c r="F114" s="1" t="s">
        <v>604</v>
      </c>
      <c r="G114" s="1" t="s">
        <v>378</v>
      </c>
      <c r="J114" s="1" t="s">
        <v>87</v>
      </c>
      <c r="K114" s="31">
        <v>46163</v>
      </c>
      <c r="L114" s="31">
        <v>46165</v>
      </c>
      <c r="P114" s="1" t="s">
        <v>379</v>
      </c>
      <c r="Q114" s="1" t="s">
        <v>379</v>
      </c>
      <c r="S114" s="1" t="s">
        <v>380</v>
      </c>
      <c r="T114" s="1">
        <v>7572</v>
      </c>
      <c r="U114" s="1" t="s">
        <v>381</v>
      </c>
      <c r="AA114" s="1" t="s">
        <v>5</v>
      </c>
      <c r="AC114" s="1">
        <v>1093</v>
      </c>
      <c r="AD114" s="31">
        <v>46221</v>
      </c>
      <c r="AE114" s="31">
        <v>46161</v>
      </c>
      <c r="AF114" s="1">
        <v>102</v>
      </c>
      <c r="AG114" s="1">
        <v>102</v>
      </c>
      <c r="AH114" s="1" t="s">
        <v>519</v>
      </c>
      <c r="AI114" s="1" t="b">
        <v>0</v>
      </c>
      <c r="AJ114" s="1" t="s">
        <v>605</v>
      </c>
      <c r="AK114" s="1" t="str">
        <f>IF(ISBLANK(SharePointTasks[[#This Row],[Operational ActionId]]), SharePointTasks[[#This Row],[Title]], SharePointTasks[[#This Row],[Title]] &amp; " (" &amp; VLOOKUP(SharePointTasks[[#This Row],[Operational ActionId]], Operational_Actions[], 6, FALSE) &amp; ")")</f>
        <v>Scouting Essentials (Brisbane)</v>
      </c>
      <c r="AM114" s="1" t="str">
        <v>Scouting Essentials (Brisbane)</v>
      </c>
    </row>
    <row r="115" spans="1:39" x14ac:dyDescent="0.2">
      <c r="A115" s="1">
        <v>0</v>
      </c>
      <c r="B115" s="1">
        <v>890</v>
      </c>
      <c r="D115" s="1" t="s">
        <v>348</v>
      </c>
      <c r="E115" s="1" t="s">
        <v>608</v>
      </c>
      <c r="F115" s="1" t="s">
        <v>416</v>
      </c>
      <c r="G115" s="1" t="s">
        <v>378</v>
      </c>
      <c r="J115" s="1" t="s">
        <v>87</v>
      </c>
      <c r="K115" s="31">
        <v>46164</v>
      </c>
      <c r="L115" s="31">
        <v>46164</v>
      </c>
      <c r="P115" s="1" t="s">
        <v>379</v>
      </c>
      <c r="Q115" s="1" t="s">
        <v>379</v>
      </c>
      <c r="T115" s="1">
        <v>5679</v>
      </c>
      <c r="U115" s="1" t="s">
        <v>381</v>
      </c>
      <c r="AA115" s="1" t="s">
        <v>5</v>
      </c>
      <c r="AC115" s="1">
        <v>890</v>
      </c>
      <c r="AD115" s="31">
        <v>46221</v>
      </c>
      <c r="AE115" s="31">
        <v>46161</v>
      </c>
      <c r="AF115" s="1">
        <v>102</v>
      </c>
      <c r="AG115" s="1">
        <v>102</v>
      </c>
      <c r="AH115" s="1" t="s">
        <v>519</v>
      </c>
      <c r="AI115" s="1" t="b">
        <v>0</v>
      </c>
      <c r="AJ115" s="1" t="s">
        <v>609</v>
      </c>
      <c r="AK115" s="1" t="str">
        <f>IF(ISBLANK(SharePointTasks[[#This Row],[Operational ActionId]]), SharePointTasks[[#This Row],[Title]], SharePointTasks[[#This Row],[Title]] &amp; " (" &amp; VLOOKUP(SharePointTasks[[#This Row],[Operational ActionId]], Operational_Actions[], 6, FALSE) &amp; ")")</f>
        <v>Moreton Region Raft Race</v>
      </c>
      <c r="AM115" s="1" t="str">
        <v>Moreton Region Raft Race</v>
      </c>
    </row>
    <row r="116" spans="1:39" x14ac:dyDescent="0.2">
      <c r="A116" s="1">
        <v>0</v>
      </c>
      <c r="B116" s="1">
        <v>891</v>
      </c>
      <c r="D116" s="1" t="s">
        <v>348</v>
      </c>
      <c r="E116" s="1" t="s">
        <v>610</v>
      </c>
      <c r="F116" s="1" t="s">
        <v>416</v>
      </c>
      <c r="G116" s="1" t="s">
        <v>378</v>
      </c>
      <c r="J116" s="1" t="s">
        <v>87</v>
      </c>
      <c r="K116" s="31">
        <v>46164</v>
      </c>
      <c r="L116" s="31">
        <v>46165</v>
      </c>
      <c r="P116" s="1" t="s">
        <v>379</v>
      </c>
      <c r="Q116" s="1" t="s">
        <v>379</v>
      </c>
      <c r="S116" s="1" t="s">
        <v>138</v>
      </c>
      <c r="T116" s="1">
        <v>5680</v>
      </c>
      <c r="U116" s="1" t="s">
        <v>381</v>
      </c>
      <c r="AA116" s="1" t="s">
        <v>5</v>
      </c>
      <c r="AC116" s="1">
        <v>891</v>
      </c>
      <c r="AD116" s="31">
        <v>46221</v>
      </c>
      <c r="AE116" s="31">
        <v>46161</v>
      </c>
      <c r="AF116" s="1">
        <v>102</v>
      </c>
      <c r="AG116" s="1">
        <v>102</v>
      </c>
      <c r="AH116" s="1" t="s">
        <v>519</v>
      </c>
      <c r="AI116" s="1" t="b">
        <v>0</v>
      </c>
      <c r="AJ116" s="1" t="s">
        <v>611</v>
      </c>
      <c r="AK116" s="1" t="str">
        <f>IF(ISBLANK(SharePointTasks[[#This Row],[Operational ActionId]]), SharePointTasks[[#This Row],[Title]], SharePointTasks[[#This Row],[Title]] &amp; " (" &amp; VLOOKUP(SharePointTasks[[#This Row],[Operational ActionId]], Operational_Actions[], 6, FALSE) &amp; ")")</f>
        <v>Operation Archer </v>
      </c>
      <c r="AM116" s="1" t="str">
        <v>Operation Archer </v>
      </c>
    </row>
    <row r="117" spans="1:39" x14ac:dyDescent="0.2">
      <c r="A117" s="1">
        <v>0</v>
      </c>
      <c r="B117" s="1">
        <v>1094</v>
      </c>
      <c r="D117" s="1" t="s">
        <v>348</v>
      </c>
      <c r="E117" s="1" t="s">
        <v>612</v>
      </c>
      <c r="F117" s="1" t="s">
        <v>613</v>
      </c>
      <c r="G117" s="1" t="s">
        <v>378</v>
      </c>
      <c r="J117" s="1" t="s">
        <v>87</v>
      </c>
      <c r="K117" s="31">
        <v>46164</v>
      </c>
      <c r="L117" s="31">
        <v>46165</v>
      </c>
      <c r="P117" s="1" t="s">
        <v>379</v>
      </c>
      <c r="Q117" s="1" t="s">
        <v>379</v>
      </c>
      <c r="S117" s="1" t="s">
        <v>380</v>
      </c>
      <c r="T117" s="1">
        <v>7573</v>
      </c>
      <c r="U117" s="1" t="s">
        <v>381</v>
      </c>
      <c r="AA117" s="1" t="s">
        <v>5</v>
      </c>
      <c r="AC117" s="1">
        <v>1094</v>
      </c>
      <c r="AD117" s="31">
        <v>46221</v>
      </c>
      <c r="AE117" s="31">
        <v>46161</v>
      </c>
      <c r="AF117" s="1">
        <v>102</v>
      </c>
      <c r="AG117" s="1">
        <v>102</v>
      </c>
      <c r="AH117" s="1" t="s">
        <v>519</v>
      </c>
      <c r="AI117" s="1" t="b">
        <v>0</v>
      </c>
      <c r="AJ117" s="1" t="s">
        <v>614</v>
      </c>
      <c r="AK117" s="1" t="str">
        <f>IF(ISBLANK(SharePointTasks[[#This Row],[Operational ActionId]]), SharePointTasks[[#This Row],[Title]], SharePointTasks[[#This Row],[Title]] &amp; " (" &amp; VLOOKUP(SharePointTasks[[#This Row],[Operational ActionId]], Operational_Actions[], 6, FALSE) &amp; ")")</f>
        <v>Paddling - Canoe Inland Flatwater TP (Cairns)</v>
      </c>
      <c r="AM117" s="1" t="str">
        <v>Paddling - Canoe Inland Flatwater TP (Cairns)</v>
      </c>
    </row>
    <row r="118" spans="1:39" x14ac:dyDescent="0.2">
      <c r="A118" s="1">
        <v>0</v>
      </c>
      <c r="B118" s="1">
        <v>942</v>
      </c>
      <c r="D118" s="1" t="s">
        <v>348</v>
      </c>
      <c r="E118" s="1" t="s">
        <v>418</v>
      </c>
      <c r="F118" s="1" t="s">
        <v>419</v>
      </c>
      <c r="G118" s="1" t="s">
        <v>378</v>
      </c>
      <c r="J118" s="1" t="s">
        <v>87</v>
      </c>
      <c r="K118" s="31">
        <v>46167</v>
      </c>
      <c r="L118" s="31">
        <v>46167</v>
      </c>
      <c r="P118" s="1" t="s">
        <v>379</v>
      </c>
      <c r="Q118" s="1" t="s">
        <v>379</v>
      </c>
      <c r="T118" s="1">
        <v>5732</v>
      </c>
      <c r="U118" s="1" t="s">
        <v>381</v>
      </c>
      <c r="AA118" s="1" t="s">
        <v>5</v>
      </c>
      <c r="AC118" s="1">
        <v>942</v>
      </c>
      <c r="AD118" s="31">
        <v>46221</v>
      </c>
      <c r="AE118" s="31">
        <v>46161</v>
      </c>
      <c r="AF118" s="1">
        <v>102</v>
      </c>
      <c r="AG118" s="1">
        <v>102</v>
      </c>
      <c r="AH118" s="1" t="s">
        <v>519</v>
      </c>
      <c r="AI118" s="1" t="b">
        <v>0</v>
      </c>
      <c r="AJ118" s="1" t="s">
        <v>615</v>
      </c>
      <c r="AK118" s="1" t="str">
        <f>IF(ISBLANK(SharePointTasks[[#This Row],[Operational ActionId]]), SharePointTasks[[#This Row],[Title]], SharePointTasks[[#This Row],[Title]] &amp; " (" &amp; VLOOKUP(SharePointTasks[[#This Row],[Operational ActionId]], Operational_Actions[], 6, FALSE) &amp; ")")</f>
        <v>Branch Executive Committee</v>
      </c>
      <c r="AM118" s="1" t="str">
        <v>Branch Executive Committee</v>
      </c>
    </row>
    <row r="119" spans="1:39" x14ac:dyDescent="0.2">
      <c r="A119" s="1">
        <v>0</v>
      </c>
      <c r="B119" s="1">
        <v>884</v>
      </c>
      <c r="D119" s="1" t="s">
        <v>348</v>
      </c>
      <c r="E119" s="1" t="s">
        <v>616</v>
      </c>
      <c r="F119" s="1" t="s">
        <v>617</v>
      </c>
      <c r="G119" s="1" t="s">
        <v>378</v>
      </c>
      <c r="J119" s="1" t="s">
        <v>87</v>
      </c>
      <c r="K119" s="31">
        <v>46172</v>
      </c>
      <c r="L119" s="31">
        <v>46172</v>
      </c>
      <c r="P119" s="1" t="s">
        <v>379</v>
      </c>
      <c r="Q119" s="1" t="s">
        <v>379</v>
      </c>
      <c r="T119" s="1">
        <v>5671</v>
      </c>
      <c r="U119" s="1" t="s">
        <v>381</v>
      </c>
      <c r="Z119" s="1" t="s">
        <v>413</v>
      </c>
      <c r="AA119" s="1" t="s">
        <v>5</v>
      </c>
      <c r="AC119" s="1">
        <v>884</v>
      </c>
      <c r="AD119" s="31">
        <v>46221</v>
      </c>
      <c r="AE119" s="31">
        <v>46161</v>
      </c>
      <c r="AF119" s="1">
        <v>102</v>
      </c>
      <c r="AG119" s="1">
        <v>102</v>
      </c>
      <c r="AH119" s="1" t="s">
        <v>382</v>
      </c>
      <c r="AI119" s="1" t="b">
        <v>0</v>
      </c>
      <c r="AJ119" s="1" t="s">
        <v>618</v>
      </c>
      <c r="AK119" s="1" t="str">
        <f>IF(ISBLANK(SharePointTasks[[#This Row],[Operational ActionId]]), SharePointTasks[[#This Row],[Title]], SharePointTasks[[#This Row],[Title]] &amp; " (" &amp; VLOOKUP(SharePointTasks[[#This Row],[Operational ActionId]], Operational_Actions[], 6, FALSE) &amp; ")")</f>
        <v>Joey Scout Step Out</v>
      </c>
      <c r="AM119" s="1" t="str">
        <v>Joey Scout Step Out</v>
      </c>
    </row>
    <row r="120" spans="1:39" x14ac:dyDescent="0.2">
      <c r="A120" s="1">
        <v>0</v>
      </c>
      <c r="B120" s="1">
        <v>1095</v>
      </c>
      <c r="D120" s="1" t="s">
        <v>348</v>
      </c>
      <c r="E120" s="1" t="s">
        <v>424</v>
      </c>
      <c r="F120" s="1" t="s">
        <v>425</v>
      </c>
      <c r="G120" s="1" t="s">
        <v>378</v>
      </c>
      <c r="J120" s="1" t="s">
        <v>87</v>
      </c>
      <c r="K120" s="31">
        <v>46174</v>
      </c>
      <c r="L120" s="31">
        <v>46174</v>
      </c>
      <c r="P120" s="1" t="s">
        <v>379</v>
      </c>
      <c r="Q120" s="1" t="s">
        <v>379</v>
      </c>
      <c r="S120" s="1" t="s">
        <v>380</v>
      </c>
      <c r="T120" s="1">
        <v>7574</v>
      </c>
      <c r="U120" s="1" t="s">
        <v>381</v>
      </c>
      <c r="AA120" s="1" t="s">
        <v>5</v>
      </c>
      <c r="AC120" s="1">
        <v>1095</v>
      </c>
      <c r="AD120" s="31">
        <v>46221</v>
      </c>
      <c r="AE120" s="31">
        <v>46161</v>
      </c>
      <c r="AF120" s="1">
        <v>102</v>
      </c>
      <c r="AG120" s="1">
        <v>102</v>
      </c>
      <c r="AH120" s="1" t="s">
        <v>519</v>
      </c>
      <c r="AI120" s="1" t="b">
        <v>0</v>
      </c>
      <c r="AJ120" s="1" t="s">
        <v>619</v>
      </c>
      <c r="AK120" s="1" t="str">
        <f>IF(ISBLANK(SharePointTasks[[#This Row],[Operational ActionId]]), SharePointTasks[[#This Row],[Title]], SharePointTasks[[#This Row],[Title]] &amp; " (" &amp; VLOOKUP(SharePointTasks[[#This Row],[Operational ActionId]], Operational_Actions[], 6, FALSE) &amp; ")")</f>
        <v>Scouting Leadership (Online)</v>
      </c>
      <c r="AM120" s="1" t="str">
        <v>Scouting Leadership (Online)</v>
      </c>
    </row>
    <row r="121" spans="1:39" x14ac:dyDescent="0.2">
      <c r="A121" s="1">
        <v>0</v>
      </c>
      <c r="B121" s="1">
        <v>1016</v>
      </c>
      <c r="D121" s="1" t="s">
        <v>348</v>
      </c>
      <c r="E121" s="1" t="s">
        <v>486</v>
      </c>
      <c r="F121" s="1" t="s">
        <v>487</v>
      </c>
      <c r="G121" s="1" t="s">
        <v>378</v>
      </c>
      <c r="J121" s="1" t="s">
        <v>87</v>
      </c>
      <c r="K121" s="31">
        <v>46175</v>
      </c>
      <c r="L121" s="31">
        <v>46177</v>
      </c>
      <c r="P121" s="1" t="s">
        <v>379</v>
      </c>
      <c r="Q121" s="1" t="s">
        <v>379</v>
      </c>
      <c r="S121" s="1" t="s">
        <v>380</v>
      </c>
      <c r="T121" s="1">
        <v>7163</v>
      </c>
      <c r="U121" s="1" t="s">
        <v>381</v>
      </c>
      <c r="AA121" s="1" t="s">
        <v>5</v>
      </c>
      <c r="AC121" s="1">
        <v>1016</v>
      </c>
      <c r="AD121" s="31">
        <v>46221</v>
      </c>
      <c r="AE121" s="31">
        <v>46161</v>
      </c>
      <c r="AF121" s="1">
        <v>102</v>
      </c>
      <c r="AG121" s="1">
        <v>102</v>
      </c>
      <c r="AH121" s="1" t="s">
        <v>414</v>
      </c>
      <c r="AI121" s="1" t="b">
        <v>0</v>
      </c>
      <c r="AJ121" s="1" t="s">
        <v>620</v>
      </c>
      <c r="AK121" s="1" t="str">
        <f>IF(ISBLANK(SharePointTasks[[#This Row],[Operational ActionId]]), SharePointTasks[[#This Row],[Title]], SharePointTasks[[#This Row],[Title]] &amp; " (" &amp; VLOOKUP(SharePointTasks[[#This Row],[Operational ActionId]], Operational_Actions[], 6, FALSE) &amp; ")")</f>
        <v>Scouting Leadership (Rockhampton)</v>
      </c>
      <c r="AM121" s="1" t="str">
        <v>Scouting Leadership (Rockhampton)</v>
      </c>
    </row>
    <row r="122" spans="1:39" x14ac:dyDescent="0.2">
      <c r="A122" s="1">
        <v>0</v>
      </c>
      <c r="B122" s="1">
        <v>1096</v>
      </c>
      <c r="D122" s="1" t="s">
        <v>348</v>
      </c>
      <c r="E122" s="1" t="s">
        <v>573</v>
      </c>
      <c r="F122" s="1" t="s">
        <v>574</v>
      </c>
      <c r="G122" s="1" t="s">
        <v>378</v>
      </c>
      <c r="J122" s="1" t="s">
        <v>87</v>
      </c>
      <c r="K122" s="31">
        <v>46177</v>
      </c>
      <c r="L122" s="31">
        <v>46177</v>
      </c>
      <c r="P122" s="1" t="s">
        <v>379</v>
      </c>
      <c r="Q122" s="1" t="s">
        <v>379</v>
      </c>
      <c r="S122" s="1" t="s">
        <v>380</v>
      </c>
      <c r="T122" s="1">
        <v>7575</v>
      </c>
      <c r="U122" s="1" t="s">
        <v>381</v>
      </c>
      <c r="AA122" s="1" t="s">
        <v>5</v>
      </c>
      <c r="AC122" s="1">
        <v>1096</v>
      </c>
      <c r="AD122" s="31">
        <v>46221</v>
      </c>
      <c r="AE122" s="31">
        <v>46161</v>
      </c>
      <c r="AF122" s="1">
        <v>102</v>
      </c>
      <c r="AG122" s="1">
        <v>102</v>
      </c>
      <c r="AH122" s="1" t="s">
        <v>519</v>
      </c>
      <c r="AI122" s="1" t="b">
        <v>0</v>
      </c>
      <c r="AJ122" s="1" t="s">
        <v>622</v>
      </c>
      <c r="AK122" s="1" t="str">
        <f>IF(ISBLANK(SharePointTasks[[#This Row],[Operational ActionId]]), SharePointTasks[[#This Row],[Title]], SharePointTasks[[#This Row],[Title]] &amp; " (" &amp; VLOOKUP(SharePointTasks[[#This Row],[Operational ActionId]], Operational_Actions[], 6, FALSE) &amp; ")")</f>
        <v>Scouting Essentials (Rockhampton)</v>
      </c>
      <c r="AM122" s="1" t="str">
        <v>Scouting Essentials (Rockhampton)</v>
      </c>
    </row>
    <row r="123" spans="1:39" x14ac:dyDescent="0.2">
      <c r="A123" s="1">
        <v>0</v>
      </c>
      <c r="B123" s="1">
        <v>1097</v>
      </c>
      <c r="D123" s="1" t="s">
        <v>348</v>
      </c>
      <c r="E123" s="1" t="s">
        <v>576</v>
      </c>
      <c r="F123" s="1" t="s">
        <v>577</v>
      </c>
      <c r="G123" s="1" t="s">
        <v>378</v>
      </c>
      <c r="J123" s="1" t="s">
        <v>87</v>
      </c>
      <c r="K123" s="31">
        <v>46177</v>
      </c>
      <c r="L123" s="31">
        <v>46177</v>
      </c>
      <c r="P123" s="1" t="s">
        <v>379</v>
      </c>
      <c r="Q123" s="1" t="s">
        <v>379</v>
      </c>
      <c r="S123" s="1" t="s">
        <v>380</v>
      </c>
      <c r="T123" s="1">
        <v>7576</v>
      </c>
      <c r="U123" s="1" t="s">
        <v>381</v>
      </c>
      <c r="AA123" s="1" t="s">
        <v>5</v>
      </c>
      <c r="AC123" s="1">
        <v>1097</v>
      </c>
      <c r="AD123" s="31">
        <v>46221</v>
      </c>
      <c r="AE123" s="31">
        <v>46161</v>
      </c>
      <c r="AF123" s="1">
        <v>102</v>
      </c>
      <c r="AG123" s="1">
        <v>102</v>
      </c>
      <c r="AH123" s="1" t="s">
        <v>519</v>
      </c>
      <c r="AI123" s="1" t="b">
        <v>0</v>
      </c>
      <c r="AJ123" s="1" t="s">
        <v>621</v>
      </c>
      <c r="AK123" s="1" t="str">
        <f>IF(ISBLANK(SharePointTasks[[#This Row],[Operational ActionId]]), SharePointTasks[[#This Row],[Title]], SharePointTasks[[#This Row],[Title]] &amp; " (" &amp; VLOOKUP(SharePointTasks[[#This Row],[Operational ActionId]], Operational_Actions[], 6, FALSE) &amp; ")")</f>
        <v>Scouting Adventure (FNQ)</v>
      </c>
      <c r="AM123" s="1" t="str">
        <v>Scouting Adventure (FNQ)</v>
      </c>
    </row>
    <row r="124" spans="1:39" x14ac:dyDescent="0.2">
      <c r="A124" s="1">
        <v>0</v>
      </c>
      <c r="B124" s="1">
        <v>877</v>
      </c>
      <c r="D124" s="1" t="s">
        <v>348</v>
      </c>
      <c r="E124" s="1" t="s">
        <v>623</v>
      </c>
      <c r="F124" s="1" t="s">
        <v>416</v>
      </c>
      <c r="G124" s="1" t="s">
        <v>378</v>
      </c>
      <c r="J124" s="1" t="s">
        <v>87</v>
      </c>
      <c r="K124" s="31">
        <v>46178</v>
      </c>
      <c r="L124" s="31">
        <v>46178</v>
      </c>
      <c r="P124" s="1" t="s">
        <v>379</v>
      </c>
      <c r="Q124" s="1" t="s">
        <v>379</v>
      </c>
      <c r="S124" s="1" t="s">
        <v>132</v>
      </c>
      <c r="T124" s="1">
        <v>5664</v>
      </c>
      <c r="U124" s="1" t="s">
        <v>381</v>
      </c>
      <c r="AA124" s="1" t="s">
        <v>5</v>
      </c>
      <c r="AC124" s="1">
        <v>877</v>
      </c>
      <c r="AD124" s="31">
        <v>46221</v>
      </c>
      <c r="AE124" s="31">
        <v>46161</v>
      </c>
      <c r="AF124" s="1">
        <v>102</v>
      </c>
      <c r="AG124" s="1">
        <v>102</v>
      </c>
      <c r="AH124" s="1" t="s">
        <v>519</v>
      </c>
      <c r="AI124" s="1" t="b">
        <v>0</v>
      </c>
      <c r="AJ124" s="1" t="s">
        <v>624</v>
      </c>
      <c r="AK124" s="1" t="str">
        <f>IF(ISBLANK(SharePointTasks[[#This Row],[Operational ActionId]]), SharePointTasks[[#This Row],[Title]], SharePointTasks[[#This Row],[Title]] &amp; " (" &amp; VLOOKUP(SharePointTasks[[#This Row],[Operational ActionId]], Operational_Actions[], 6, FALSE) &amp; ")")</f>
        <v>Cub Scout Day Out (local groups)</v>
      </c>
      <c r="AM124" s="1" t="str">
        <v>Cub Scout Day Out (local groups)</v>
      </c>
    </row>
    <row r="125" spans="1:39" x14ac:dyDescent="0.2">
      <c r="A125" s="1">
        <v>0</v>
      </c>
      <c r="B125" s="1">
        <v>896</v>
      </c>
      <c r="D125" s="1" t="s">
        <v>348</v>
      </c>
      <c r="E125" s="1" t="s">
        <v>534</v>
      </c>
      <c r="F125" s="1" t="s">
        <v>535</v>
      </c>
      <c r="G125" s="1" t="s">
        <v>378</v>
      </c>
      <c r="J125" s="1" t="s">
        <v>87</v>
      </c>
      <c r="K125" s="31">
        <v>46184</v>
      </c>
      <c r="L125" s="31">
        <v>46186</v>
      </c>
      <c r="P125" s="1" t="s">
        <v>379</v>
      </c>
      <c r="Q125" s="1" t="s">
        <v>379</v>
      </c>
      <c r="T125" s="1">
        <v>5685</v>
      </c>
      <c r="U125" s="1" t="s">
        <v>381</v>
      </c>
      <c r="AA125" s="1" t="s">
        <v>5</v>
      </c>
      <c r="AC125" s="1">
        <v>896</v>
      </c>
      <c r="AD125" s="31">
        <v>46221</v>
      </c>
      <c r="AE125" s="31">
        <v>46161</v>
      </c>
      <c r="AF125" s="1">
        <v>102</v>
      </c>
      <c r="AG125" s="1">
        <v>102</v>
      </c>
      <c r="AH125" s="1" t="s">
        <v>519</v>
      </c>
      <c r="AI125" s="1" t="b">
        <v>0</v>
      </c>
      <c r="AJ125" s="1" t="s">
        <v>627</v>
      </c>
      <c r="AK125" s="1" t="str">
        <f>IF(ISBLANK(SharePointTasks[[#This Row],[Operational ActionId]]), SharePointTasks[[#This Row],[Title]], SharePointTasks[[#This Row],[Title]] &amp; " (" &amp; VLOOKUP(SharePointTasks[[#This Row],[Operational ActionId]], Operational_Actions[], 6, FALSE) &amp; ")")</f>
        <v>Region Activity Weekend (RAW)</v>
      </c>
      <c r="AM125" s="1" t="str">
        <v>Region Activity Weekend (RAW)</v>
      </c>
    </row>
    <row r="126" spans="1:39" x14ac:dyDescent="0.2">
      <c r="A126" s="1">
        <v>0</v>
      </c>
      <c r="B126" s="1">
        <v>1098</v>
      </c>
      <c r="D126" s="1" t="s">
        <v>348</v>
      </c>
      <c r="E126" s="1" t="s">
        <v>502</v>
      </c>
      <c r="F126" s="1" t="s">
        <v>628</v>
      </c>
      <c r="G126" s="1" t="s">
        <v>378</v>
      </c>
      <c r="J126" s="1" t="s">
        <v>87</v>
      </c>
      <c r="K126" s="31">
        <v>46184</v>
      </c>
      <c r="L126" s="31">
        <v>46186</v>
      </c>
      <c r="P126" s="1" t="s">
        <v>379</v>
      </c>
      <c r="Q126" s="1" t="s">
        <v>379</v>
      </c>
      <c r="S126" s="1" t="s">
        <v>380</v>
      </c>
      <c r="T126" s="1">
        <v>7577</v>
      </c>
      <c r="U126" s="1" t="s">
        <v>381</v>
      </c>
      <c r="AA126" s="1" t="s">
        <v>5</v>
      </c>
      <c r="AC126" s="1">
        <v>1098</v>
      </c>
      <c r="AD126" s="31">
        <v>46221</v>
      </c>
      <c r="AE126" s="31">
        <v>46161</v>
      </c>
      <c r="AF126" s="1">
        <v>102</v>
      </c>
      <c r="AG126" s="1">
        <v>102</v>
      </c>
      <c r="AH126" s="1" t="s">
        <v>519</v>
      </c>
      <c r="AI126" s="1" t="b">
        <v>0</v>
      </c>
      <c r="AJ126" s="1" t="s">
        <v>629</v>
      </c>
      <c r="AK126" s="1" t="str">
        <f>IF(ISBLANK(SharePointTasks[[#This Row],[Operational ActionId]]), SharePointTasks[[#This Row],[Title]], SharePointTasks[[#This Row],[Title]] &amp; " (" &amp; VLOOKUP(SharePointTasks[[#This Row],[Operational ActionId]], Operational_Actions[], 6, FALSE) &amp; ")")</f>
        <v>Scouting Leadership (Brisbane)</v>
      </c>
      <c r="AM126" s="1" t="str">
        <v>Scouting Leadership (Brisbane)</v>
      </c>
    </row>
    <row r="127" spans="1:39" x14ac:dyDescent="0.2">
      <c r="A127" s="1">
        <v>0</v>
      </c>
      <c r="B127" s="1">
        <v>1099</v>
      </c>
      <c r="D127" s="1" t="s">
        <v>348</v>
      </c>
      <c r="E127" s="1" t="s">
        <v>431</v>
      </c>
      <c r="F127" s="1" t="s">
        <v>625</v>
      </c>
      <c r="G127" s="1" t="s">
        <v>378</v>
      </c>
      <c r="J127" s="1" t="s">
        <v>87</v>
      </c>
      <c r="K127" s="31">
        <v>46184</v>
      </c>
      <c r="L127" s="31">
        <v>46186</v>
      </c>
      <c r="P127" s="1" t="s">
        <v>379</v>
      </c>
      <c r="Q127" s="1" t="s">
        <v>379</v>
      </c>
      <c r="S127" s="1" t="s">
        <v>380</v>
      </c>
      <c r="T127" s="1">
        <v>7578</v>
      </c>
      <c r="U127" s="1" t="s">
        <v>381</v>
      </c>
      <c r="AA127" s="1" t="s">
        <v>5</v>
      </c>
      <c r="AC127" s="1">
        <v>1099</v>
      </c>
      <c r="AD127" s="31">
        <v>46221</v>
      </c>
      <c r="AE127" s="31">
        <v>46161</v>
      </c>
      <c r="AF127" s="1">
        <v>102</v>
      </c>
      <c r="AG127" s="1">
        <v>102</v>
      </c>
      <c r="AH127" s="1" t="s">
        <v>519</v>
      </c>
      <c r="AI127" s="1" t="b">
        <v>0</v>
      </c>
      <c r="AJ127" s="1" t="s">
        <v>626</v>
      </c>
      <c r="AK127" s="1" t="str">
        <f>IF(ISBLANK(SharePointTasks[[#This Row],[Operational ActionId]]), SharePointTasks[[#This Row],[Title]], SharePointTasks[[#This Row],[Title]] &amp; " (" &amp; VLOOKUP(SharePointTasks[[#This Row],[Operational ActionId]], Operational_Actions[], 6, FALSE) &amp; ")")</f>
        <v>Scouting Adventure (Brisbane)</v>
      </c>
      <c r="AM127" s="1" t="str">
        <v>Scouting Adventure (Brisbane)</v>
      </c>
    </row>
    <row r="128" spans="1:39" x14ac:dyDescent="0.2">
      <c r="A128" s="1">
        <v>0</v>
      </c>
      <c r="B128" s="1">
        <v>1100</v>
      </c>
      <c r="D128" s="1" t="s">
        <v>348</v>
      </c>
      <c r="E128" s="1" t="s">
        <v>386</v>
      </c>
      <c r="F128" s="1" t="s">
        <v>630</v>
      </c>
      <c r="G128" s="1" t="s">
        <v>378</v>
      </c>
      <c r="J128" s="1" t="s">
        <v>87</v>
      </c>
      <c r="K128" s="31">
        <v>46185</v>
      </c>
      <c r="L128" s="31">
        <v>46185</v>
      </c>
      <c r="P128" s="1" t="s">
        <v>379</v>
      </c>
      <c r="Q128" s="1" t="s">
        <v>379</v>
      </c>
      <c r="S128" s="1" t="s">
        <v>380</v>
      </c>
      <c r="T128" s="1">
        <v>7579</v>
      </c>
      <c r="U128" s="1" t="s">
        <v>381</v>
      </c>
      <c r="AA128" s="1" t="s">
        <v>5</v>
      </c>
      <c r="AC128" s="1">
        <v>1100</v>
      </c>
      <c r="AD128" s="31">
        <v>46221</v>
      </c>
      <c r="AE128" s="31">
        <v>46161</v>
      </c>
      <c r="AF128" s="1">
        <v>102</v>
      </c>
      <c r="AG128" s="1">
        <v>102</v>
      </c>
      <c r="AH128" s="1" t="s">
        <v>519</v>
      </c>
      <c r="AI128" s="1" t="b">
        <v>0</v>
      </c>
      <c r="AJ128" s="1" t="s">
        <v>631</v>
      </c>
      <c r="AK128" s="1" t="str">
        <f>IF(ISBLANK(SharePointTasks[[#This Row],[Operational ActionId]]), SharePointTasks[[#This Row],[Title]], SharePointTasks[[#This Row],[Title]] &amp; " (" &amp; VLOOKUP(SharePointTasks[[#This Row],[Operational ActionId]], Operational_Actions[], 6, FALSE) &amp; ")")</f>
        <v>Basic Water Rescue (FNQ)</v>
      </c>
      <c r="AM128" s="1" t="str">
        <v>Basic Water Rescue (FNQ)</v>
      </c>
    </row>
    <row r="129" spans="1:39" x14ac:dyDescent="0.2">
      <c r="A129" s="1">
        <v>0</v>
      </c>
      <c r="B129" s="1">
        <v>955</v>
      </c>
      <c r="D129" s="1" t="s">
        <v>348</v>
      </c>
      <c r="E129" s="1" t="s">
        <v>409</v>
      </c>
      <c r="F129" s="1" t="s">
        <v>410</v>
      </c>
      <c r="G129" s="1" t="s">
        <v>378</v>
      </c>
      <c r="J129" s="1" t="s">
        <v>87</v>
      </c>
      <c r="K129" s="31">
        <v>46187</v>
      </c>
      <c r="L129" s="31">
        <v>46187</v>
      </c>
      <c r="P129" s="1" t="s">
        <v>379</v>
      </c>
      <c r="Q129" s="1" t="s">
        <v>379</v>
      </c>
      <c r="T129" s="1">
        <v>5745</v>
      </c>
      <c r="U129" s="1" t="s">
        <v>381</v>
      </c>
      <c r="AA129" s="1" t="s">
        <v>5</v>
      </c>
      <c r="AC129" s="1">
        <v>955</v>
      </c>
      <c r="AD129" s="31">
        <v>46221</v>
      </c>
      <c r="AE129" s="31">
        <v>46161</v>
      </c>
      <c r="AF129" s="1">
        <v>102</v>
      </c>
      <c r="AG129" s="1">
        <v>102</v>
      </c>
      <c r="AH129" s="1" t="s">
        <v>519</v>
      </c>
      <c r="AI129" s="1" t="b">
        <v>0</v>
      </c>
      <c r="AJ129" s="1" t="s">
        <v>633</v>
      </c>
      <c r="AK129" s="1" t="str">
        <f>IF(ISBLANK(SharePointTasks[[#This Row],[Operational ActionId]]), SharePointTasks[[#This Row],[Title]], SharePointTasks[[#This Row],[Title]] &amp; " (" &amp; VLOOKUP(SharePointTasks[[#This Row],[Operational ActionId]], Operational_Actions[], 6, FALSE) &amp; ")")</f>
        <v>Branch Finance Committee</v>
      </c>
      <c r="AM129" s="1" t="str">
        <v>Branch Finance Committee</v>
      </c>
    </row>
    <row r="130" spans="1:39" x14ac:dyDescent="0.2">
      <c r="A130" s="1">
        <v>0</v>
      </c>
      <c r="B130" s="1">
        <v>975</v>
      </c>
      <c r="D130" s="1" t="s">
        <v>348</v>
      </c>
      <c r="E130" s="1" t="s">
        <v>440</v>
      </c>
      <c r="F130" s="1" t="s">
        <v>406</v>
      </c>
      <c r="G130" s="1" t="s">
        <v>378</v>
      </c>
      <c r="J130" s="1" t="s">
        <v>87</v>
      </c>
      <c r="K130" s="31">
        <v>46187</v>
      </c>
      <c r="L130" s="31">
        <v>46187</v>
      </c>
      <c r="P130" s="1" t="s">
        <v>379</v>
      </c>
      <c r="Q130" s="1" t="s">
        <v>379</v>
      </c>
      <c r="T130" s="1">
        <v>5765</v>
      </c>
      <c r="U130" s="1" t="s">
        <v>381</v>
      </c>
      <c r="Z130" s="1" t="s">
        <v>413</v>
      </c>
      <c r="AA130" s="1" t="s">
        <v>5</v>
      </c>
      <c r="AC130" s="1">
        <v>975</v>
      </c>
      <c r="AD130" s="31">
        <v>46221</v>
      </c>
      <c r="AE130" s="31">
        <v>46161</v>
      </c>
      <c r="AF130" s="1">
        <v>102</v>
      </c>
      <c r="AG130" s="1">
        <v>102</v>
      </c>
      <c r="AH130" s="1" t="s">
        <v>382</v>
      </c>
      <c r="AI130" s="1" t="b">
        <v>0</v>
      </c>
      <c r="AJ130" s="1" t="s">
        <v>632</v>
      </c>
      <c r="AK130" s="1" t="str">
        <f>IF(ISBLANK(SharePointTasks[[#This Row],[Operational ActionId]]), SharePointTasks[[#This Row],[Title]], SharePointTasks[[#This Row],[Title]] &amp; " (" &amp; VLOOKUP(SharePointTasks[[#This Row],[Operational ActionId]], Operational_Actions[], 6, FALSE) &amp; ")")</f>
        <v>Branch Scout Section Council</v>
      </c>
      <c r="AM130" s="1" t="str">
        <v>Branch Scout Section Council</v>
      </c>
    </row>
    <row r="131" spans="1:39" x14ac:dyDescent="0.2">
      <c r="A131" s="1">
        <v>0</v>
      </c>
      <c r="B131" s="1">
        <v>965</v>
      </c>
      <c r="D131" s="1" t="s">
        <v>348</v>
      </c>
      <c r="E131" s="1" t="s">
        <v>412</v>
      </c>
      <c r="F131" s="1" t="s">
        <v>406</v>
      </c>
      <c r="G131" s="1" t="s">
        <v>378</v>
      </c>
      <c r="J131" s="1" t="s">
        <v>87</v>
      </c>
      <c r="K131" s="31">
        <v>46189</v>
      </c>
      <c r="L131" s="31">
        <v>46189</v>
      </c>
      <c r="P131" s="1" t="s">
        <v>379</v>
      </c>
      <c r="Q131" s="1" t="s">
        <v>379</v>
      </c>
      <c r="S131" s="1" t="s">
        <v>129</v>
      </c>
      <c r="T131" s="1">
        <v>5755</v>
      </c>
      <c r="U131" s="1" t="s">
        <v>381</v>
      </c>
      <c r="Z131" s="1" t="s">
        <v>413</v>
      </c>
      <c r="AA131" s="1" t="s">
        <v>5</v>
      </c>
      <c r="AC131" s="1">
        <v>965</v>
      </c>
      <c r="AD131" s="31">
        <v>46221</v>
      </c>
      <c r="AE131" s="31">
        <v>46161</v>
      </c>
      <c r="AF131" s="1">
        <v>102</v>
      </c>
      <c r="AG131" s="1">
        <v>102</v>
      </c>
      <c r="AH131" s="1" t="s">
        <v>382</v>
      </c>
      <c r="AI131" s="1" t="b">
        <v>0</v>
      </c>
      <c r="AJ131" s="1" t="s">
        <v>635</v>
      </c>
      <c r="AK131" s="1" t="str">
        <f>IF(ISBLANK(SharePointTasks[[#This Row],[Operational ActionId]]), SharePointTasks[[#This Row],[Title]], SharePointTasks[[#This Row],[Title]] &amp; " (" &amp; VLOOKUP(SharePointTasks[[#This Row],[Operational ActionId]], Operational_Actions[], 6, FALSE) &amp; ")")</f>
        <v>Branch Joey Scout Council</v>
      </c>
      <c r="AM131" s="1" t="str">
        <v>Branch Joey Scout Council</v>
      </c>
    </row>
    <row r="132" spans="1:39" x14ac:dyDescent="0.2">
      <c r="A132" s="1">
        <v>0</v>
      </c>
      <c r="B132" s="1">
        <v>984</v>
      </c>
      <c r="D132" s="1" t="s">
        <v>348</v>
      </c>
      <c r="E132" s="1" t="s">
        <v>442</v>
      </c>
      <c r="F132" s="1" t="s">
        <v>406</v>
      </c>
      <c r="G132" s="1" t="s">
        <v>378</v>
      </c>
      <c r="J132" s="1" t="s">
        <v>87</v>
      </c>
      <c r="K132" s="31">
        <v>46189</v>
      </c>
      <c r="L132" s="31">
        <v>46189</v>
      </c>
      <c r="P132" s="1" t="s">
        <v>379</v>
      </c>
      <c r="Q132" s="1" t="s">
        <v>379</v>
      </c>
      <c r="T132" s="1">
        <v>5774</v>
      </c>
      <c r="U132" s="1" t="s">
        <v>381</v>
      </c>
      <c r="AA132" s="1" t="s">
        <v>5</v>
      </c>
      <c r="AC132" s="1">
        <v>984</v>
      </c>
      <c r="AD132" s="31">
        <v>46221</v>
      </c>
      <c r="AE132" s="31">
        <v>46161</v>
      </c>
      <c r="AF132" s="1">
        <v>102</v>
      </c>
      <c r="AG132" s="1">
        <v>102</v>
      </c>
      <c r="AH132" s="1" t="s">
        <v>519</v>
      </c>
      <c r="AI132" s="1" t="b">
        <v>0</v>
      </c>
      <c r="AJ132" s="1" t="s">
        <v>634</v>
      </c>
      <c r="AK132" s="1" t="str">
        <f>IF(ISBLANK(SharePointTasks[[#This Row],[Operational ActionId]]), SharePointTasks[[#This Row],[Title]], SharePointTasks[[#This Row],[Title]] &amp; " (" &amp; VLOOKUP(SharePointTasks[[#This Row],[Operational ActionId]], Operational_Actions[], 6, FALSE) &amp; ")")</f>
        <v>Branch Youth Venturer Scout Council</v>
      </c>
      <c r="AM132" s="1" t="str">
        <v>Branch Youth Venturer Scout Council</v>
      </c>
    </row>
    <row r="133" spans="1:39" x14ac:dyDescent="0.2">
      <c r="A133" s="1">
        <v>0</v>
      </c>
      <c r="B133" s="1">
        <v>880</v>
      </c>
      <c r="D133" s="1" t="s">
        <v>348</v>
      </c>
      <c r="E133" s="1" t="s">
        <v>637</v>
      </c>
      <c r="F133" s="1" t="s">
        <v>638</v>
      </c>
      <c r="G133" s="1" t="s">
        <v>378</v>
      </c>
      <c r="J133" s="1" t="s">
        <v>87</v>
      </c>
      <c r="K133" s="31">
        <v>46190</v>
      </c>
      <c r="L133" s="31">
        <v>46194</v>
      </c>
      <c r="P133" s="1" t="s">
        <v>379</v>
      </c>
      <c r="Q133" s="1" t="s">
        <v>379</v>
      </c>
      <c r="S133" s="1" t="s">
        <v>407</v>
      </c>
      <c r="T133" s="1">
        <v>5667</v>
      </c>
      <c r="U133" s="1" t="s">
        <v>381</v>
      </c>
      <c r="AA133" s="1" t="s">
        <v>5</v>
      </c>
      <c r="AC133" s="1">
        <v>880</v>
      </c>
      <c r="AD133" s="31">
        <v>46221</v>
      </c>
      <c r="AE133" s="31">
        <v>46161</v>
      </c>
      <c r="AF133" s="1">
        <v>102</v>
      </c>
      <c r="AG133" s="1">
        <v>102</v>
      </c>
      <c r="AH133" s="1" t="s">
        <v>519</v>
      </c>
      <c r="AI133" s="1" t="b">
        <v>0</v>
      </c>
      <c r="AJ133" s="1" t="s">
        <v>639</v>
      </c>
      <c r="AK133" s="1" t="str">
        <f>IF(ISBLANK(SharePointTasks[[#This Row],[Operational ActionId]]), SharePointTasks[[#This Row],[Title]], SharePointTasks[[#This Row],[Title]] &amp; " (" &amp; VLOOKUP(SharePointTasks[[#This Row],[Operational ActionId]], Operational_Actions[], 6, FALSE) &amp; ")")</f>
        <v>Far North Region Moot</v>
      </c>
      <c r="AM133" s="1" t="str">
        <v>Far North Region Moot</v>
      </c>
    </row>
    <row r="134" spans="1:39" x14ac:dyDescent="0.2">
      <c r="A134" s="1">
        <v>0</v>
      </c>
      <c r="B134" s="1">
        <v>932</v>
      </c>
      <c r="D134" s="1" t="s">
        <v>348</v>
      </c>
      <c r="E134" s="1" t="s">
        <v>445</v>
      </c>
      <c r="F134" s="1" t="s">
        <v>406</v>
      </c>
      <c r="G134" s="1" t="s">
        <v>378</v>
      </c>
      <c r="J134" s="1" t="s">
        <v>87</v>
      </c>
      <c r="K134" s="31">
        <v>46190</v>
      </c>
      <c r="L134" s="31">
        <v>46190</v>
      </c>
      <c r="P134" s="1" t="s">
        <v>379</v>
      </c>
      <c r="Q134" s="1" t="s">
        <v>379</v>
      </c>
      <c r="S134" s="1" t="s">
        <v>132</v>
      </c>
      <c r="T134" s="1">
        <v>5722</v>
      </c>
      <c r="U134" s="1" t="s">
        <v>381</v>
      </c>
      <c r="AA134" s="1" t="s">
        <v>5</v>
      </c>
      <c r="AC134" s="1">
        <v>932</v>
      </c>
      <c r="AD134" s="31">
        <v>46221</v>
      </c>
      <c r="AE134" s="31">
        <v>46161</v>
      </c>
      <c r="AF134" s="1">
        <v>102</v>
      </c>
      <c r="AG134" s="1">
        <v>102</v>
      </c>
      <c r="AH134" s="1" t="s">
        <v>519</v>
      </c>
      <c r="AI134" s="1" t="b">
        <v>0</v>
      </c>
      <c r="AJ134" s="1" t="s">
        <v>636</v>
      </c>
      <c r="AK134" s="1" t="str">
        <f>IF(ISBLANK(SharePointTasks[[#This Row],[Operational ActionId]]), SharePointTasks[[#This Row],[Title]], SharePointTasks[[#This Row],[Title]] &amp; " (" &amp; VLOOKUP(SharePointTasks[[#This Row],[Operational ActionId]], Operational_Actions[], 6, FALSE) &amp; ")")</f>
        <v>Branch Cub Scout Section Team Meeting</v>
      </c>
      <c r="AM134" s="1" t="str">
        <v>Branch Cub Scout Section Team Meeting</v>
      </c>
    </row>
    <row r="135" spans="1:39" x14ac:dyDescent="0.2">
      <c r="A135" s="1">
        <v>0</v>
      </c>
      <c r="B135" s="1">
        <v>892</v>
      </c>
      <c r="D135" s="1" t="s">
        <v>348</v>
      </c>
      <c r="E135" s="1" t="s">
        <v>640</v>
      </c>
      <c r="F135" s="1" t="s">
        <v>416</v>
      </c>
      <c r="G135" s="1" t="s">
        <v>378</v>
      </c>
      <c r="J135" s="1" t="s">
        <v>87</v>
      </c>
      <c r="K135" s="31">
        <v>46192</v>
      </c>
      <c r="L135" s="31">
        <v>46193</v>
      </c>
      <c r="P135" s="1" t="s">
        <v>379</v>
      </c>
      <c r="Q135" s="1" t="s">
        <v>379</v>
      </c>
      <c r="S135" s="1" t="s">
        <v>135</v>
      </c>
      <c r="T135" s="1">
        <v>5681</v>
      </c>
      <c r="U135" s="1" t="s">
        <v>381</v>
      </c>
      <c r="AA135" s="1" t="s">
        <v>5</v>
      </c>
      <c r="AC135" s="1">
        <v>892</v>
      </c>
      <c r="AD135" s="31">
        <v>46221</v>
      </c>
      <c r="AE135" s="31">
        <v>46161</v>
      </c>
      <c r="AF135" s="1">
        <v>102</v>
      </c>
      <c r="AG135" s="1">
        <v>102</v>
      </c>
      <c r="AH135" s="1" t="s">
        <v>519</v>
      </c>
      <c r="AI135" s="1" t="b">
        <v>0</v>
      </c>
      <c r="AJ135" s="1" t="s">
        <v>641</v>
      </c>
      <c r="AK135" s="1" t="str">
        <f>IF(ISBLANK(SharePointTasks[[#This Row],[Operational ActionId]]), SharePointTasks[[#This Row],[Title]], SharePointTasks[[#This Row],[Title]] &amp; " (" &amp; VLOOKUP(SharePointTasks[[#This Row],[Operational ActionId]], Operational_Actions[], 6, FALSE) &amp; ")")</f>
        <v>Operation Night Owl</v>
      </c>
      <c r="AM135" s="1" t="str">
        <v>Operation Night Owl</v>
      </c>
    </row>
    <row r="136" spans="1:39" x14ac:dyDescent="0.2">
      <c r="A136" s="1">
        <v>0</v>
      </c>
      <c r="B136" s="1">
        <v>996</v>
      </c>
      <c r="D136" s="1" t="s">
        <v>348</v>
      </c>
      <c r="E136" s="1" t="s">
        <v>405</v>
      </c>
      <c r="F136" s="1" t="s">
        <v>406</v>
      </c>
      <c r="G136" s="1" t="s">
        <v>378</v>
      </c>
      <c r="J136" s="1" t="s">
        <v>87</v>
      </c>
      <c r="K136" s="31">
        <v>46193</v>
      </c>
      <c r="L136" s="31">
        <v>46193</v>
      </c>
      <c r="P136" s="1" t="s">
        <v>379</v>
      </c>
      <c r="Q136" s="1" t="s">
        <v>379</v>
      </c>
      <c r="T136" s="1">
        <v>5786</v>
      </c>
      <c r="U136" s="1" t="s">
        <v>381</v>
      </c>
      <c r="AA136" s="1" t="s">
        <v>5</v>
      </c>
      <c r="AC136" s="1">
        <v>996</v>
      </c>
      <c r="AD136" s="31">
        <v>46221</v>
      </c>
      <c r="AE136" s="31">
        <v>46161</v>
      </c>
      <c r="AF136" s="1">
        <v>102</v>
      </c>
      <c r="AG136" s="1">
        <v>102</v>
      </c>
      <c r="AH136" s="1" t="s">
        <v>519</v>
      </c>
      <c r="AI136" s="1" t="b">
        <v>0</v>
      </c>
      <c r="AJ136" s="1" t="s">
        <v>642</v>
      </c>
      <c r="AK136" s="1" t="str">
        <f>IF(ISBLANK(SharePointTasks[[#This Row],[Operational ActionId]]), SharePointTasks[[#This Row],[Title]], SharePointTasks[[#This Row],[Title]] &amp; " (" &amp; VLOOKUP(SharePointTasks[[#This Row],[Operational ActionId]], Operational_Actions[], 6, FALSE) &amp; ")")</f>
        <v>Queensland Branch Rover Council Meeting</v>
      </c>
      <c r="AM136" s="1" t="str">
        <v>Queensland Branch Rover Council Meeting</v>
      </c>
    </row>
    <row r="137" spans="1:39" x14ac:dyDescent="0.2">
      <c r="A137" s="1">
        <v>0</v>
      </c>
      <c r="B137" s="1">
        <v>943</v>
      </c>
      <c r="D137" s="1" t="s">
        <v>348</v>
      </c>
      <c r="E137" s="1" t="s">
        <v>418</v>
      </c>
      <c r="F137" s="1" t="s">
        <v>419</v>
      </c>
      <c r="G137" s="1" t="s">
        <v>378</v>
      </c>
      <c r="J137" s="1" t="s">
        <v>87</v>
      </c>
      <c r="K137" s="31">
        <v>46195</v>
      </c>
      <c r="L137" s="31">
        <v>46195</v>
      </c>
      <c r="P137" s="1" t="s">
        <v>379</v>
      </c>
      <c r="Q137" s="1" t="s">
        <v>379</v>
      </c>
      <c r="T137" s="1">
        <v>5733</v>
      </c>
      <c r="U137" s="1" t="s">
        <v>381</v>
      </c>
      <c r="AA137" s="1" t="s">
        <v>5</v>
      </c>
      <c r="AC137" s="1">
        <v>943</v>
      </c>
      <c r="AD137" s="31">
        <v>46221</v>
      </c>
      <c r="AE137" s="31">
        <v>46161</v>
      </c>
      <c r="AF137" s="1">
        <v>102</v>
      </c>
      <c r="AG137" s="1">
        <v>102</v>
      </c>
      <c r="AH137" s="1" t="s">
        <v>519</v>
      </c>
      <c r="AI137" s="1" t="b">
        <v>0</v>
      </c>
      <c r="AJ137" s="1" t="s">
        <v>643</v>
      </c>
      <c r="AK137" s="1" t="str">
        <f>IF(ISBLANK(SharePointTasks[[#This Row],[Operational ActionId]]), SharePointTasks[[#This Row],[Title]], SharePointTasks[[#This Row],[Title]] &amp; " (" &amp; VLOOKUP(SharePointTasks[[#This Row],[Operational ActionId]], Operational_Actions[], 6, FALSE) &amp; ")")</f>
        <v>Branch Executive Committee</v>
      </c>
      <c r="AM137" s="1" t="str">
        <v>Branch Executive Committee</v>
      </c>
    </row>
    <row r="138" spans="1:39" x14ac:dyDescent="0.2">
      <c r="A138" s="1">
        <v>0</v>
      </c>
      <c r="B138" s="1">
        <v>879</v>
      </c>
      <c r="D138" s="1" t="s">
        <v>348</v>
      </c>
      <c r="E138" s="1" t="s">
        <v>644</v>
      </c>
      <c r="F138" s="1" t="s">
        <v>416</v>
      </c>
      <c r="G138" s="1" t="s">
        <v>378</v>
      </c>
      <c r="J138" s="1" t="s">
        <v>87</v>
      </c>
      <c r="K138" s="31">
        <v>46198</v>
      </c>
      <c r="L138" s="31">
        <v>46199</v>
      </c>
      <c r="P138" s="1" t="s">
        <v>379</v>
      </c>
      <c r="Q138" s="1" t="s">
        <v>379</v>
      </c>
      <c r="T138" s="1">
        <v>5666</v>
      </c>
      <c r="U138" s="1" t="s">
        <v>381</v>
      </c>
      <c r="AA138" s="1" t="s">
        <v>5</v>
      </c>
      <c r="AC138" s="1">
        <v>879</v>
      </c>
      <c r="AD138" s="31">
        <v>46221</v>
      </c>
      <c r="AE138" s="31">
        <v>46161</v>
      </c>
      <c r="AF138" s="1">
        <v>102</v>
      </c>
      <c r="AG138" s="1">
        <v>102</v>
      </c>
      <c r="AH138" s="1" t="s">
        <v>519</v>
      </c>
      <c r="AI138" s="1" t="b">
        <v>0</v>
      </c>
      <c r="AJ138" s="1" t="s">
        <v>645</v>
      </c>
      <c r="AK138" s="1" t="str">
        <f>IF(ISBLANK(SharePointTasks[[#This Row],[Operational ActionId]]), SharePointTasks[[#This Row],[Title]], SharePointTasks[[#This Row],[Title]] &amp; " (" &amp; VLOOKUP(SharePointTasks[[#This Row],[Operational ActionId]], Operational_Actions[], 6, FALSE) &amp; ")")</f>
        <v>Darling Downs Revue</v>
      </c>
      <c r="AM138" s="1" t="str">
        <v>Darling Downs Revue</v>
      </c>
    </row>
    <row r="139" spans="1:39" x14ac:dyDescent="0.2">
      <c r="A139" s="1">
        <v>0</v>
      </c>
      <c r="B139" s="1">
        <v>1101</v>
      </c>
      <c r="D139" s="1" t="s">
        <v>348</v>
      </c>
      <c r="E139" s="1" t="s">
        <v>646</v>
      </c>
      <c r="F139" s="1" t="s">
        <v>647</v>
      </c>
      <c r="G139" s="1" t="s">
        <v>378</v>
      </c>
      <c r="J139" s="1" t="s">
        <v>87</v>
      </c>
      <c r="K139" s="31">
        <v>46199</v>
      </c>
      <c r="L139" s="31">
        <v>46200</v>
      </c>
      <c r="P139" s="1" t="s">
        <v>379</v>
      </c>
      <c r="Q139" s="1" t="s">
        <v>379</v>
      </c>
      <c r="S139" s="1" t="s">
        <v>380</v>
      </c>
      <c r="T139" s="1">
        <v>7580</v>
      </c>
      <c r="U139" s="1" t="s">
        <v>381</v>
      </c>
      <c r="AA139" s="1" t="s">
        <v>5</v>
      </c>
      <c r="AC139" s="1">
        <v>1101</v>
      </c>
      <c r="AD139" s="31">
        <v>46221</v>
      </c>
      <c r="AE139" s="31">
        <v>46161</v>
      </c>
      <c r="AF139" s="1">
        <v>102</v>
      </c>
      <c r="AG139" s="1">
        <v>102</v>
      </c>
      <c r="AH139" s="1" t="s">
        <v>519</v>
      </c>
      <c r="AI139" s="1" t="b">
        <v>0</v>
      </c>
      <c r="AJ139" s="1" t="s">
        <v>648</v>
      </c>
      <c r="AK139" s="1" t="str">
        <f>IF(ISBLANK(SharePointTasks[[#This Row],[Operational ActionId]]), SharePointTasks[[#This Row],[Title]], SharePointTasks[[#This Row],[Title]] &amp; " (" &amp; VLOOKUP(SharePointTasks[[#This Row],[Operational ActionId]], Operational_Actions[], 6, FALSE) &amp; ")")</f>
        <v>Vertical - Abseiling (Natural Surfaces) SP (FNR)</v>
      </c>
      <c r="AM139" s="1" t="str">
        <v>Vertical - Abseiling (Natural Surfaces) SP (FNR)</v>
      </c>
    </row>
    <row r="140" spans="1:39" x14ac:dyDescent="0.2">
      <c r="A140" s="1">
        <v>0</v>
      </c>
      <c r="B140" s="1">
        <v>1007</v>
      </c>
      <c r="D140" s="1" t="s">
        <v>348</v>
      </c>
      <c r="E140" s="1" t="s">
        <v>649</v>
      </c>
      <c r="F140" s="1" t="s">
        <v>650</v>
      </c>
      <c r="G140" s="1" t="s">
        <v>378</v>
      </c>
      <c r="J140" s="1" t="s">
        <v>87</v>
      </c>
      <c r="K140" s="31">
        <v>46200</v>
      </c>
      <c r="L140" s="31">
        <v>46206</v>
      </c>
      <c r="P140" s="1" t="s">
        <v>379</v>
      </c>
      <c r="Q140" s="1" t="s">
        <v>379</v>
      </c>
      <c r="T140" s="1">
        <v>6943</v>
      </c>
      <c r="U140" s="1" t="s">
        <v>381</v>
      </c>
      <c r="Y140" s="1" t="b">
        <v>1</v>
      </c>
      <c r="AA140" s="1" t="s">
        <v>94</v>
      </c>
      <c r="AC140" s="1">
        <v>1007</v>
      </c>
      <c r="AD140" s="31">
        <v>46225</v>
      </c>
      <c r="AE140" s="31">
        <v>46161</v>
      </c>
      <c r="AF140" s="1">
        <v>102</v>
      </c>
      <c r="AG140" s="1">
        <v>102</v>
      </c>
      <c r="AH140" s="1" t="s">
        <v>414</v>
      </c>
      <c r="AI140" s="1" t="b">
        <v>0</v>
      </c>
      <c r="AJ140" s="1" t="s">
        <v>651</v>
      </c>
      <c r="AK140" s="1" t="str">
        <f>IF(ISBLANK(SharePointTasks[[#This Row],[Operational ActionId]]), SharePointTasks[[#This Row],[Title]], SharePointTasks[[#This Row],[Title]] &amp; " (" &amp; VLOOKUP(SharePointTasks[[#This Row],[Operational ActionId]], Operational_Actions[], 6, FALSE) &amp; ")")</f>
        <v>LEAP North (Townsville)</v>
      </c>
      <c r="AM140" s="1" t="str">
        <v>LEAP North (Townsville)</v>
      </c>
    </row>
    <row r="141" spans="1:39" x14ac:dyDescent="0.2">
      <c r="A141" s="1">
        <v>0</v>
      </c>
      <c r="B141" s="1">
        <v>902</v>
      </c>
      <c r="D141" s="1" t="s">
        <v>348</v>
      </c>
      <c r="E141" s="1" t="s">
        <v>652</v>
      </c>
      <c r="F141" s="1" t="s">
        <v>416</v>
      </c>
      <c r="G141" s="1" t="s">
        <v>378</v>
      </c>
      <c r="I141" s="1" t="s">
        <v>653</v>
      </c>
      <c r="J141" s="1" t="s">
        <v>87</v>
      </c>
      <c r="K141" s="31">
        <v>46202</v>
      </c>
      <c r="L141" s="31">
        <v>46202</v>
      </c>
      <c r="P141" s="1" t="s">
        <v>379</v>
      </c>
      <c r="Q141" s="1" t="s">
        <v>379</v>
      </c>
      <c r="T141" s="1">
        <v>5691</v>
      </c>
      <c r="U141" s="1" t="s">
        <v>381</v>
      </c>
      <c r="AA141" s="1" t="s">
        <v>5</v>
      </c>
      <c r="AC141" s="1">
        <v>902</v>
      </c>
      <c r="AD141" s="31">
        <v>46221</v>
      </c>
      <c r="AE141" s="31">
        <v>46161</v>
      </c>
      <c r="AF141" s="1">
        <v>102</v>
      </c>
      <c r="AG141" s="1">
        <v>102</v>
      </c>
      <c r="AH141" s="1" t="s">
        <v>382</v>
      </c>
      <c r="AI141" s="1" t="b">
        <v>0</v>
      </c>
      <c r="AJ141" s="1" t="s">
        <v>654</v>
      </c>
      <c r="AK141" s="1" t="str">
        <f>IF(ISBLANK(SharePointTasks[[#This Row],[Operational ActionId]]), SharePointTasks[[#This Row],[Title]], SharePointTasks[[#This Row],[Title]] &amp; " (" &amp; VLOOKUP(SharePointTasks[[#This Row],[Operational ActionId]], Operational_Actions[], 6, FALSE) &amp; ")")</f>
        <v>Youth Awards Submission Deadline</v>
      </c>
      <c r="AM141" s="1" t="str">
        <v>Youth Awards Submission Deadline</v>
      </c>
    </row>
    <row r="142" spans="1:39" x14ac:dyDescent="0.2">
      <c r="A142" s="1">
        <v>0</v>
      </c>
      <c r="B142" s="1">
        <v>1158</v>
      </c>
      <c r="D142" s="1" t="s">
        <v>348</v>
      </c>
      <c r="E142" s="1" t="s">
        <v>655</v>
      </c>
      <c r="F142" s="1" t="s">
        <v>656</v>
      </c>
      <c r="G142" s="1" t="s">
        <v>657</v>
      </c>
      <c r="I142" s="1" t="s">
        <v>658</v>
      </c>
      <c r="J142" s="1" t="s">
        <v>659</v>
      </c>
      <c r="K142" s="31">
        <v>46203</v>
      </c>
      <c r="L142" s="31">
        <v>46264</v>
      </c>
      <c r="P142" s="1" t="s">
        <v>379</v>
      </c>
      <c r="Q142" s="1" t="s">
        <v>379</v>
      </c>
      <c r="U142" s="1" t="s">
        <v>381</v>
      </c>
      <c r="X142" s="1">
        <v>12</v>
      </c>
      <c r="Y142" s="1" t="b">
        <v>1</v>
      </c>
      <c r="AA142" s="1" t="s">
        <v>6</v>
      </c>
      <c r="AC142" s="1">
        <v>1158</v>
      </c>
      <c r="AD142" s="31">
        <v>46219</v>
      </c>
      <c r="AE142" s="31">
        <v>46218</v>
      </c>
      <c r="AF142" s="1">
        <v>102</v>
      </c>
      <c r="AG142" s="1">
        <v>102</v>
      </c>
      <c r="AH142" s="1" t="s">
        <v>660</v>
      </c>
      <c r="AI142" s="1" t="b">
        <v>0</v>
      </c>
      <c r="AJ142" s="1" t="s">
        <v>661</v>
      </c>
      <c r="AK142" s="1" t="str">
        <f>IF(ISBLANK(SharePointTasks[[#This Row],[Operational ActionId]]), SharePointTasks[[#This Row],[Title]], SharePointTasks[[#This Row],[Title]] &amp; " (" &amp; VLOOKUP(SharePointTasks[[#This Row],[Operational ActionId]], Operational_Actions[], 6, FALSE) &amp; ")")</f>
        <v>Preparing for Launch (Achievement Pathways Improvements (2026))</v>
      </c>
      <c r="AM142" s="1" t="str">
        <v>Preparing for Launch (Achievement Pathways Improvements (2026))</v>
      </c>
    </row>
    <row r="143" spans="1:39" x14ac:dyDescent="0.2">
      <c r="A143" s="1">
        <v>0</v>
      </c>
      <c r="B143" s="1">
        <v>1006</v>
      </c>
      <c r="D143" s="1" t="s">
        <v>348</v>
      </c>
      <c r="E143" s="1" t="s">
        <v>666</v>
      </c>
      <c r="F143" s="1" t="s">
        <v>667</v>
      </c>
      <c r="G143" s="1" t="s">
        <v>378</v>
      </c>
      <c r="J143" s="1" t="s">
        <v>87</v>
      </c>
      <c r="K143" s="31">
        <v>46205</v>
      </c>
      <c r="L143" s="31">
        <v>46209</v>
      </c>
      <c r="P143" s="1" t="s">
        <v>379</v>
      </c>
      <c r="Q143" s="1" t="s">
        <v>379</v>
      </c>
      <c r="T143" s="1">
        <v>6941</v>
      </c>
      <c r="U143" s="1" t="s">
        <v>381</v>
      </c>
      <c r="Y143" s="1" t="b">
        <v>1</v>
      </c>
      <c r="AA143" s="1" t="s">
        <v>94</v>
      </c>
      <c r="AC143" s="1">
        <v>1006</v>
      </c>
      <c r="AD143" s="31">
        <v>46225</v>
      </c>
      <c r="AE143" s="31">
        <v>46161</v>
      </c>
      <c r="AF143" s="1">
        <v>102</v>
      </c>
      <c r="AG143" s="1">
        <v>102</v>
      </c>
      <c r="AH143" s="1" t="s">
        <v>414</v>
      </c>
      <c r="AI143" s="1" t="b">
        <v>0</v>
      </c>
      <c r="AJ143" s="1" t="s">
        <v>668</v>
      </c>
      <c r="AK143" s="1" t="str">
        <f>IF(ISBLANK(SharePointTasks[[#This Row],[Operational ActionId]]), SharePointTasks[[#This Row],[Title]], SharePointTasks[[#This Row],[Title]] &amp; " (" &amp; VLOOKUP(SharePointTasks[[#This Row],[Operational ActionId]], Operational_Actions[], 6, FALSE) &amp; ")")</f>
        <v>LEAP South (Brisbane)</v>
      </c>
      <c r="AM143" s="1" t="str">
        <v>LEAP South (Brisbane)</v>
      </c>
    </row>
    <row r="144" spans="1:39" x14ac:dyDescent="0.2">
      <c r="A144" s="1">
        <v>0</v>
      </c>
      <c r="B144" s="1">
        <v>1017</v>
      </c>
      <c r="D144" s="1" t="s">
        <v>348</v>
      </c>
      <c r="E144" s="1" t="s">
        <v>495</v>
      </c>
      <c r="F144" s="1" t="s">
        <v>496</v>
      </c>
      <c r="G144" s="1" t="s">
        <v>378</v>
      </c>
      <c r="J144" s="1" t="s">
        <v>87</v>
      </c>
      <c r="K144" s="31">
        <v>46205</v>
      </c>
      <c r="L144" s="31">
        <v>46236</v>
      </c>
      <c r="P144" s="1" t="s">
        <v>379</v>
      </c>
      <c r="Q144" s="1" t="s">
        <v>379</v>
      </c>
      <c r="S144" s="1" t="s">
        <v>380</v>
      </c>
      <c r="T144" s="1">
        <v>7164</v>
      </c>
      <c r="U144" s="1" t="s">
        <v>381</v>
      </c>
      <c r="AA144" s="1" t="s">
        <v>5</v>
      </c>
      <c r="AC144" s="1">
        <v>1017</v>
      </c>
      <c r="AD144" s="31">
        <v>46221</v>
      </c>
      <c r="AE144" s="31">
        <v>46161</v>
      </c>
      <c r="AF144" s="1">
        <v>102</v>
      </c>
      <c r="AG144" s="1">
        <v>102</v>
      </c>
      <c r="AH144" s="1" t="s">
        <v>519</v>
      </c>
      <c r="AI144" s="1" t="b">
        <v>0</v>
      </c>
      <c r="AJ144" s="1" t="s">
        <v>664</v>
      </c>
      <c r="AK144" s="1" t="str">
        <f>IF(ISBLANK(SharePointTasks[[#This Row],[Operational ActionId]]), SharePointTasks[[#This Row],[Title]], SharePointTasks[[#This Row],[Title]] &amp; " (" &amp; VLOOKUP(SharePointTasks[[#This Row],[Operational ActionId]], Operational_Actions[], 6, FALSE) &amp; ")")</f>
        <v>Snorkelling - SP/Guide (Sunshine Coast)</v>
      </c>
      <c r="AM144" s="1" t="str">
        <v>Snorkelling - SP/Guide (Sunshine Coast)</v>
      </c>
    </row>
    <row r="145" spans="1:39" x14ac:dyDescent="0.2">
      <c r="A145" s="1">
        <v>0</v>
      </c>
      <c r="B145" s="1">
        <v>1018</v>
      </c>
      <c r="D145" s="1" t="s">
        <v>348</v>
      </c>
      <c r="E145" s="1" t="s">
        <v>492</v>
      </c>
      <c r="F145" s="1" t="s">
        <v>493</v>
      </c>
      <c r="G145" s="1" t="s">
        <v>378</v>
      </c>
      <c r="J145" s="1" t="s">
        <v>87</v>
      </c>
      <c r="K145" s="31">
        <v>46205</v>
      </c>
      <c r="L145" s="31">
        <v>46205</v>
      </c>
      <c r="P145" s="1" t="s">
        <v>379</v>
      </c>
      <c r="Q145" s="1" t="s">
        <v>379</v>
      </c>
      <c r="S145" s="1" t="s">
        <v>380</v>
      </c>
      <c r="T145" s="1">
        <v>7165</v>
      </c>
      <c r="U145" s="1" t="s">
        <v>381</v>
      </c>
      <c r="AA145" s="1" t="s">
        <v>5</v>
      </c>
      <c r="AC145" s="1">
        <v>1018</v>
      </c>
      <c r="AD145" s="31">
        <v>46221</v>
      </c>
      <c r="AE145" s="31">
        <v>46161</v>
      </c>
      <c r="AF145" s="1">
        <v>102</v>
      </c>
      <c r="AG145" s="1">
        <v>102</v>
      </c>
      <c r="AH145" s="1" t="s">
        <v>519</v>
      </c>
      <c r="AI145" s="1" t="b">
        <v>0</v>
      </c>
      <c r="AJ145" s="1" t="s">
        <v>665</v>
      </c>
      <c r="AK145" s="1" t="str">
        <f>IF(ISBLANK(SharePointTasks[[#This Row],[Operational ActionId]]), SharePointTasks[[#This Row],[Title]], SharePointTasks[[#This Row],[Title]] &amp; " (" &amp; VLOOKUP(SharePointTasks[[#This Row],[Operational ActionId]], Operational_Actions[], 6, FALSE) &amp; ")")</f>
        <v>Basic Water Rescue (FNR)</v>
      </c>
      <c r="AM145" s="1" t="str">
        <v>Basic Water Rescue (FNR)</v>
      </c>
    </row>
    <row r="146" spans="1:39" x14ac:dyDescent="0.2">
      <c r="A146" s="1">
        <v>0</v>
      </c>
      <c r="B146" s="1">
        <v>1103</v>
      </c>
      <c r="D146" s="1" t="s">
        <v>348</v>
      </c>
      <c r="E146" s="1" t="s">
        <v>389</v>
      </c>
      <c r="F146" s="1" t="s">
        <v>671</v>
      </c>
      <c r="G146" s="1" t="s">
        <v>378</v>
      </c>
      <c r="J146" s="1" t="s">
        <v>87</v>
      </c>
      <c r="K146" s="31">
        <v>46212</v>
      </c>
      <c r="L146" s="31">
        <v>46214</v>
      </c>
      <c r="P146" s="1" t="s">
        <v>379</v>
      </c>
      <c r="Q146" s="1" t="s">
        <v>379</v>
      </c>
      <c r="S146" s="1" t="s">
        <v>380</v>
      </c>
      <c r="T146" s="1">
        <v>7582</v>
      </c>
      <c r="U146" s="1" t="s">
        <v>381</v>
      </c>
      <c r="AA146" s="1" t="s">
        <v>5</v>
      </c>
      <c r="AC146" s="1">
        <v>1103</v>
      </c>
      <c r="AD146" s="31">
        <v>46221</v>
      </c>
      <c r="AE146" s="31">
        <v>46161</v>
      </c>
      <c r="AF146" s="1">
        <v>102</v>
      </c>
      <c r="AG146" s="1">
        <v>102</v>
      </c>
      <c r="AH146" s="1" t="s">
        <v>519</v>
      </c>
      <c r="AI146" s="1" t="b">
        <v>0</v>
      </c>
      <c r="AJ146" s="1" t="s">
        <v>672</v>
      </c>
      <c r="AK146" s="1" t="str">
        <f>IF(ISBLANK(SharePointTasks[[#This Row],[Operational ActionId]]), SharePointTasks[[#This Row],[Title]], SharePointTasks[[#This Row],[Title]] &amp; " (" &amp; VLOOKUP(SharePointTasks[[#This Row],[Operational ActionId]], Operational_Actions[], 6, FALSE) &amp; ")")</f>
        <v>Scouting Essentials (Brisbane)</v>
      </c>
      <c r="AM146" s="1" t="str">
        <v>Scouting Essentials (Brisbane)</v>
      </c>
    </row>
    <row r="147" spans="1:39" x14ac:dyDescent="0.2">
      <c r="A147" s="1">
        <v>0</v>
      </c>
      <c r="B147" s="1">
        <v>1104</v>
      </c>
      <c r="D147" s="1" t="s">
        <v>348</v>
      </c>
      <c r="E147" s="1" t="s">
        <v>431</v>
      </c>
      <c r="F147" s="1" t="s">
        <v>669</v>
      </c>
      <c r="G147" s="1" t="s">
        <v>378</v>
      </c>
      <c r="J147" s="1" t="s">
        <v>87</v>
      </c>
      <c r="K147" s="31">
        <v>46212</v>
      </c>
      <c r="L147" s="31">
        <v>46214</v>
      </c>
      <c r="P147" s="1" t="s">
        <v>379</v>
      </c>
      <c r="Q147" s="1" t="s">
        <v>379</v>
      </c>
      <c r="S147" s="1" t="s">
        <v>380</v>
      </c>
      <c r="T147" s="1">
        <v>7583</v>
      </c>
      <c r="U147" s="1" t="s">
        <v>381</v>
      </c>
      <c r="AA147" s="1" t="s">
        <v>5</v>
      </c>
      <c r="AC147" s="1">
        <v>1104</v>
      </c>
      <c r="AD147" s="31">
        <v>46221</v>
      </c>
      <c r="AE147" s="31">
        <v>46161</v>
      </c>
      <c r="AF147" s="1">
        <v>102</v>
      </c>
      <c r="AG147" s="1">
        <v>102</v>
      </c>
      <c r="AH147" s="1" t="s">
        <v>519</v>
      </c>
      <c r="AI147" s="1" t="b">
        <v>0</v>
      </c>
      <c r="AJ147" s="1" t="s">
        <v>670</v>
      </c>
      <c r="AK147" s="1" t="str">
        <f>IF(ISBLANK(SharePointTasks[[#This Row],[Operational ActionId]]), SharePointTasks[[#This Row],[Title]], SharePointTasks[[#This Row],[Title]] &amp; " (" &amp; VLOOKUP(SharePointTasks[[#This Row],[Operational ActionId]], Operational_Actions[], 6, FALSE) &amp; ")")</f>
        <v>Scouting Adventure (Brisbane)</v>
      </c>
      <c r="AM147" s="1" t="str">
        <v>Scouting Adventure (Brisbane)</v>
      </c>
    </row>
    <row r="148" spans="1:39" x14ac:dyDescent="0.2">
      <c r="A148" s="1">
        <v>0</v>
      </c>
      <c r="B148" s="1">
        <v>889</v>
      </c>
      <c r="D148" s="1" t="s">
        <v>348</v>
      </c>
      <c r="E148" s="1" t="s">
        <v>673</v>
      </c>
      <c r="F148" s="1" t="s">
        <v>416</v>
      </c>
      <c r="G148" s="1" t="s">
        <v>378</v>
      </c>
      <c r="J148" s="1" t="s">
        <v>87</v>
      </c>
      <c r="K148" s="31">
        <v>46213</v>
      </c>
      <c r="L148" s="31">
        <v>46213</v>
      </c>
      <c r="P148" s="1" t="s">
        <v>379</v>
      </c>
      <c r="Q148" s="1" t="s">
        <v>379</v>
      </c>
      <c r="T148" s="1">
        <v>5676</v>
      </c>
      <c r="U148" s="1" t="s">
        <v>381</v>
      </c>
      <c r="AA148" s="1" t="s">
        <v>5</v>
      </c>
      <c r="AC148" s="1">
        <v>889</v>
      </c>
      <c r="AD148" s="31">
        <v>46221</v>
      </c>
      <c r="AE148" s="31">
        <v>46161</v>
      </c>
      <c r="AF148" s="1">
        <v>102</v>
      </c>
      <c r="AG148" s="1">
        <v>102</v>
      </c>
      <c r="AH148" s="1" t="s">
        <v>519</v>
      </c>
      <c r="AI148" s="1" t="b">
        <v>0</v>
      </c>
      <c r="AJ148" s="1" t="s">
        <v>674</v>
      </c>
      <c r="AK148" s="1" t="str">
        <f>IF(ISBLANK(SharePointTasks[[#This Row],[Operational ActionId]]), SharePointTasks[[#This Row],[Title]], SharePointTasks[[#This Row],[Title]] &amp; " (" &amp; VLOOKUP(SharePointTasks[[#This Row],[Operational ActionId]], Operational_Actions[], 6, FALSE) &amp; ")")</f>
        <v>Kokoda Junior Games</v>
      </c>
      <c r="AM148" s="1" t="str">
        <v>Kokoda Junior Games</v>
      </c>
    </row>
    <row r="149" spans="1:39" x14ac:dyDescent="0.2">
      <c r="A149" s="1">
        <v>0</v>
      </c>
      <c r="B149" s="1">
        <v>966</v>
      </c>
      <c r="D149" s="1" t="s">
        <v>348</v>
      </c>
      <c r="E149" s="1" t="s">
        <v>412</v>
      </c>
      <c r="F149" s="1" t="s">
        <v>406</v>
      </c>
      <c r="G149" s="1" t="s">
        <v>378</v>
      </c>
      <c r="J149" s="1" t="s">
        <v>87</v>
      </c>
      <c r="K149" s="31">
        <v>46217</v>
      </c>
      <c r="L149" s="31">
        <v>46217</v>
      </c>
      <c r="P149" s="1" t="s">
        <v>379</v>
      </c>
      <c r="Q149" s="1" t="s">
        <v>379</v>
      </c>
      <c r="S149" s="1" t="s">
        <v>129</v>
      </c>
      <c r="T149" s="1">
        <v>5756</v>
      </c>
      <c r="U149" s="1" t="s">
        <v>381</v>
      </c>
      <c r="Y149" s="1" t="b">
        <v>1</v>
      </c>
      <c r="Z149" s="1" t="s">
        <v>413</v>
      </c>
      <c r="AA149" s="1" t="s">
        <v>94</v>
      </c>
      <c r="AC149" s="1">
        <v>966</v>
      </c>
      <c r="AD149" s="31">
        <v>46225</v>
      </c>
      <c r="AE149" s="31">
        <v>46161</v>
      </c>
      <c r="AF149" s="1">
        <v>102</v>
      </c>
      <c r="AG149" s="1">
        <v>102</v>
      </c>
      <c r="AH149" s="1" t="s">
        <v>676</v>
      </c>
      <c r="AI149" s="1" t="b">
        <v>0</v>
      </c>
      <c r="AJ149" s="1" t="s">
        <v>677</v>
      </c>
      <c r="AK149" s="1" t="str">
        <f>IF(ISBLANK(SharePointTasks[[#This Row],[Operational ActionId]]), SharePointTasks[[#This Row],[Title]], SharePointTasks[[#This Row],[Title]] &amp; " (" &amp; VLOOKUP(SharePointTasks[[#This Row],[Operational ActionId]], Operational_Actions[], 6, FALSE) &amp; ")")</f>
        <v>Branch Joey Scout Council</v>
      </c>
      <c r="AM149" s="1" t="str">
        <v>Branch Joey Scout Council</v>
      </c>
    </row>
    <row r="150" spans="1:39" x14ac:dyDescent="0.2">
      <c r="A150" s="1">
        <v>0</v>
      </c>
      <c r="B150" s="1">
        <v>985</v>
      </c>
      <c r="D150" s="1" t="s">
        <v>348</v>
      </c>
      <c r="E150" s="1" t="s">
        <v>442</v>
      </c>
      <c r="F150" s="1" t="s">
        <v>406</v>
      </c>
      <c r="G150" s="1" t="s">
        <v>378</v>
      </c>
      <c r="J150" s="1" t="s">
        <v>87</v>
      </c>
      <c r="K150" s="31">
        <v>46217</v>
      </c>
      <c r="L150" s="31">
        <v>46217</v>
      </c>
      <c r="P150" s="1" t="s">
        <v>379</v>
      </c>
      <c r="Q150" s="1" t="s">
        <v>379</v>
      </c>
      <c r="T150" s="1">
        <v>5775</v>
      </c>
      <c r="U150" s="1" t="s">
        <v>381</v>
      </c>
      <c r="Y150" s="1" t="b">
        <v>1</v>
      </c>
      <c r="AA150" s="1" t="s">
        <v>94</v>
      </c>
      <c r="AC150" s="1">
        <v>985</v>
      </c>
      <c r="AD150" s="31">
        <v>46225</v>
      </c>
      <c r="AE150" s="31">
        <v>46161</v>
      </c>
      <c r="AF150" s="1">
        <v>102</v>
      </c>
      <c r="AG150" s="1">
        <v>102</v>
      </c>
      <c r="AH150" s="1" t="s">
        <v>414</v>
      </c>
      <c r="AI150" s="1" t="b">
        <v>0</v>
      </c>
      <c r="AJ150" s="1" t="s">
        <v>675</v>
      </c>
      <c r="AK150" s="1" t="str">
        <f>IF(ISBLANK(SharePointTasks[[#This Row],[Operational ActionId]]), SharePointTasks[[#This Row],[Title]], SharePointTasks[[#This Row],[Title]] &amp; " (" &amp; VLOOKUP(SharePointTasks[[#This Row],[Operational ActionId]], Operational_Actions[], 6, FALSE) &amp; ")")</f>
        <v>Branch Youth Venturer Scout Council</v>
      </c>
      <c r="AM150" s="1" t="str">
        <v>Branch Youth Venturer Scout Council</v>
      </c>
    </row>
    <row r="151" spans="1:39" x14ac:dyDescent="0.2">
      <c r="A151" s="1">
        <v>0</v>
      </c>
      <c r="B151" s="1">
        <v>933</v>
      </c>
      <c r="D151" s="1" t="s">
        <v>348</v>
      </c>
      <c r="E151" s="1" t="s">
        <v>445</v>
      </c>
      <c r="F151" s="1" t="s">
        <v>406</v>
      </c>
      <c r="G151" s="1" t="s">
        <v>378</v>
      </c>
      <c r="J151" s="1" t="s">
        <v>87</v>
      </c>
      <c r="K151" s="31">
        <v>46218</v>
      </c>
      <c r="L151" s="31">
        <v>46218</v>
      </c>
      <c r="P151" s="1" t="s">
        <v>379</v>
      </c>
      <c r="Q151" s="1" t="s">
        <v>379</v>
      </c>
      <c r="S151" s="1" t="s">
        <v>132</v>
      </c>
      <c r="T151" s="1">
        <v>5723</v>
      </c>
      <c r="U151" s="1" t="s">
        <v>381</v>
      </c>
      <c r="Y151" s="1" t="b">
        <v>1</v>
      </c>
      <c r="AA151" s="1" t="s">
        <v>94</v>
      </c>
      <c r="AC151" s="1">
        <v>933</v>
      </c>
      <c r="AD151" s="31">
        <v>46225</v>
      </c>
      <c r="AE151" s="31">
        <v>46161</v>
      </c>
      <c r="AF151" s="1">
        <v>102</v>
      </c>
      <c r="AG151" s="1">
        <v>102</v>
      </c>
      <c r="AH151" s="1" t="s">
        <v>414</v>
      </c>
      <c r="AI151" s="1" t="b">
        <v>0</v>
      </c>
      <c r="AJ151" s="1" t="s">
        <v>683</v>
      </c>
      <c r="AK151" s="1" t="str">
        <f>IF(ISBLANK(SharePointTasks[[#This Row],[Operational ActionId]]), SharePointTasks[[#This Row],[Title]], SharePointTasks[[#This Row],[Title]] &amp; " (" &amp; VLOOKUP(SharePointTasks[[#This Row],[Operational ActionId]], Operational_Actions[], 6, FALSE) &amp; ")")</f>
        <v>Branch Cub Scout Section Team Meeting</v>
      </c>
      <c r="AM151" s="1" t="str">
        <v>Branch Cub Scout Section Team Meeting</v>
      </c>
    </row>
    <row r="152" spans="1:39" x14ac:dyDescent="0.2">
      <c r="A152" s="1">
        <v>0</v>
      </c>
      <c r="B152" s="1">
        <v>1159</v>
      </c>
      <c r="D152" s="1" t="s">
        <v>348</v>
      </c>
      <c r="E152" s="1" t="s">
        <v>678</v>
      </c>
      <c r="G152" s="1" t="s">
        <v>679</v>
      </c>
      <c r="H152" s="1">
        <v>883</v>
      </c>
      <c r="I152" s="1" t="s">
        <v>680</v>
      </c>
      <c r="J152" s="1" t="s">
        <v>659</v>
      </c>
      <c r="K152" s="31">
        <v>46218</v>
      </c>
      <c r="L152" s="31">
        <v>46219</v>
      </c>
      <c r="P152" s="1" t="s">
        <v>379</v>
      </c>
      <c r="Q152" s="1" t="s">
        <v>379</v>
      </c>
      <c r="U152" s="1" t="s">
        <v>381</v>
      </c>
      <c r="Y152" s="1" t="b">
        <v>1</v>
      </c>
      <c r="AC152" s="1">
        <v>1159</v>
      </c>
      <c r="AD152" s="31">
        <v>46221</v>
      </c>
      <c r="AE152" s="31">
        <v>46218</v>
      </c>
      <c r="AF152" s="1">
        <v>102</v>
      </c>
      <c r="AG152" s="1">
        <v>102</v>
      </c>
      <c r="AH152" s="1" t="s">
        <v>681</v>
      </c>
      <c r="AI152" s="1" t="b">
        <v>0</v>
      </c>
      <c r="AJ152" s="1" t="s">
        <v>682</v>
      </c>
      <c r="AK152" s="1" t="str">
        <f>IF(ISBLANK(SharePointTasks[[#This Row],[Operational ActionId]]), SharePointTasks[[#This Row],[Title]], SharePointTasks[[#This Row],[Title]] &amp; " (" &amp; VLOOKUP(SharePointTasks[[#This Row],[Operational ActionId]], Operational_Actions[], 6, FALSE) &amp; ")")</f>
        <v>C5 signed off</v>
      </c>
      <c r="AM152" s="1" t="str">
        <v>C5 signed off</v>
      </c>
    </row>
    <row r="153" spans="1:39" x14ac:dyDescent="0.2">
      <c r="A153" s="1">
        <v>0</v>
      </c>
      <c r="B153" s="1">
        <v>905</v>
      </c>
      <c r="D153" s="1" t="s">
        <v>348</v>
      </c>
      <c r="E153" s="1" t="s">
        <v>692</v>
      </c>
      <c r="F153" s="1" t="s">
        <v>490</v>
      </c>
      <c r="G153" s="1" t="s">
        <v>378</v>
      </c>
      <c r="J153" s="1" t="s">
        <v>87</v>
      </c>
      <c r="K153" s="31">
        <v>46219</v>
      </c>
      <c r="L153" s="31">
        <v>46221</v>
      </c>
      <c r="P153" s="1" t="s">
        <v>379</v>
      </c>
      <c r="Q153" s="1" t="s">
        <v>379</v>
      </c>
      <c r="T153" s="1">
        <v>5694</v>
      </c>
      <c r="U153" s="1" t="s">
        <v>381</v>
      </c>
      <c r="Y153" s="1" t="b">
        <v>1</v>
      </c>
      <c r="AA153" s="1" t="s">
        <v>94</v>
      </c>
      <c r="AC153" s="1">
        <v>905</v>
      </c>
      <c r="AD153" s="31">
        <v>46225</v>
      </c>
      <c r="AE153" s="31">
        <v>46161</v>
      </c>
      <c r="AF153" s="1">
        <v>102</v>
      </c>
      <c r="AG153" s="1">
        <v>102</v>
      </c>
      <c r="AH153" s="1" t="s">
        <v>414</v>
      </c>
      <c r="AI153" s="1" t="b">
        <v>0</v>
      </c>
      <c r="AJ153" s="1" t="s">
        <v>693</v>
      </c>
      <c r="AK153" s="1" t="str">
        <f>IF(ISBLANK(SharePointTasks[[#This Row],[Operational ActionId]]), SharePointTasks[[#This Row],[Title]], SharePointTasks[[#This Row],[Title]] &amp; " (" &amp; VLOOKUP(SharePointTasks[[#This Row],[Operational ActionId]], Operational_Actions[], 6, FALSE) &amp; ")")</f>
        <v>Branch Youth Council Launch</v>
      </c>
      <c r="AM153" s="1" t="str">
        <v>Branch Youth Council Launch</v>
      </c>
    </row>
    <row r="154" spans="1:39" x14ac:dyDescent="0.2">
      <c r="A154" s="1">
        <v>0</v>
      </c>
      <c r="B154" s="1">
        <v>906</v>
      </c>
      <c r="D154" s="1" t="s">
        <v>348</v>
      </c>
      <c r="E154" s="1" t="s">
        <v>690</v>
      </c>
      <c r="F154" s="1" t="s">
        <v>490</v>
      </c>
      <c r="G154" s="1" t="s">
        <v>378</v>
      </c>
      <c r="J154" s="1" t="s">
        <v>87</v>
      </c>
      <c r="K154" s="31">
        <v>46219</v>
      </c>
      <c r="L154" s="31">
        <v>46221</v>
      </c>
      <c r="P154" s="1" t="s">
        <v>379</v>
      </c>
      <c r="Q154" s="1" t="s">
        <v>379</v>
      </c>
      <c r="T154" s="1">
        <v>5695</v>
      </c>
      <c r="U154" s="1" t="s">
        <v>381</v>
      </c>
      <c r="Y154" s="1" t="b">
        <v>1</v>
      </c>
      <c r="AA154" s="1" t="s">
        <v>94</v>
      </c>
      <c r="AC154" s="1">
        <v>906</v>
      </c>
      <c r="AD154" s="31">
        <v>46225</v>
      </c>
      <c r="AE154" s="31">
        <v>46161</v>
      </c>
      <c r="AF154" s="1">
        <v>102</v>
      </c>
      <c r="AG154" s="1">
        <v>102</v>
      </c>
      <c r="AH154" s="1" t="s">
        <v>414</v>
      </c>
      <c r="AI154" s="1" t="b">
        <v>0</v>
      </c>
      <c r="AJ154" s="1" t="s">
        <v>691</v>
      </c>
      <c r="AK154" s="1" t="str">
        <f>IF(ISBLANK(SharePointTasks[[#This Row],[Operational ActionId]]), SharePointTasks[[#This Row],[Title]], SharePointTasks[[#This Row],[Title]] &amp; " (" &amp; VLOOKUP(SharePointTasks[[#This Row],[Operational ActionId]], Operational_Actions[], 6, FALSE) &amp; ")")</f>
        <v>District Commissioners Conference</v>
      </c>
      <c r="AM154" s="1" t="str">
        <v>District Commissioners Conference</v>
      </c>
    </row>
    <row r="155" spans="1:39" x14ac:dyDescent="0.2">
      <c r="A155" s="1">
        <v>0</v>
      </c>
      <c r="B155" s="1">
        <v>908</v>
      </c>
      <c r="D155" s="1" t="s">
        <v>348</v>
      </c>
      <c r="E155" s="1" t="s">
        <v>688</v>
      </c>
      <c r="F155" s="1" t="s">
        <v>416</v>
      </c>
      <c r="G155" s="1" t="s">
        <v>378</v>
      </c>
      <c r="J155" s="1" t="s">
        <v>87</v>
      </c>
      <c r="K155" s="31">
        <v>46219</v>
      </c>
      <c r="L155" s="31">
        <v>46221</v>
      </c>
      <c r="P155" s="1" t="s">
        <v>379</v>
      </c>
      <c r="Q155" s="1" t="s">
        <v>379</v>
      </c>
      <c r="T155" s="1">
        <v>5697</v>
      </c>
      <c r="U155" s="1" t="s">
        <v>381</v>
      </c>
      <c r="Y155" s="1" t="b">
        <v>1</v>
      </c>
      <c r="AA155" s="1" t="s">
        <v>94</v>
      </c>
      <c r="AC155" s="1">
        <v>908</v>
      </c>
      <c r="AD155" s="31">
        <v>46225</v>
      </c>
      <c r="AE155" s="31">
        <v>46161</v>
      </c>
      <c r="AF155" s="1">
        <v>102</v>
      </c>
      <c r="AG155" s="1">
        <v>102</v>
      </c>
      <c r="AH155" s="1" t="s">
        <v>414</v>
      </c>
      <c r="AI155" s="1" t="b">
        <v>0</v>
      </c>
      <c r="AJ155" s="1" t="s">
        <v>689</v>
      </c>
      <c r="AK155" s="1" t="str">
        <f>IF(ISBLANK(SharePointTasks[[#This Row],[Operational ActionId]]), SharePointTasks[[#This Row],[Title]], SharePointTasks[[#This Row],[Title]] &amp; " (" &amp; VLOOKUP(SharePointTasks[[#This Row],[Operational ActionId]], Operational_Actions[], 6, FALSE) &amp; ")")</f>
        <v>Queensland Branch Rover Council Annual Conference</v>
      </c>
      <c r="AM155" s="1" t="str">
        <v>Queensland Branch Rover Council Annual Conference</v>
      </c>
    </row>
    <row r="156" spans="1:39" x14ac:dyDescent="0.2">
      <c r="A156" s="1">
        <v>0</v>
      </c>
      <c r="B156" s="1">
        <v>910</v>
      </c>
      <c r="D156" s="1" t="s">
        <v>348</v>
      </c>
      <c r="E156" s="1" t="s">
        <v>489</v>
      </c>
      <c r="F156" s="1" t="s">
        <v>490</v>
      </c>
      <c r="G156" s="1" t="s">
        <v>378</v>
      </c>
      <c r="J156" s="1" t="s">
        <v>87</v>
      </c>
      <c r="K156" s="31">
        <v>46219</v>
      </c>
      <c r="L156" s="31">
        <v>46221</v>
      </c>
      <c r="P156" s="1" t="s">
        <v>379</v>
      </c>
      <c r="Q156" s="1" t="s">
        <v>379</v>
      </c>
      <c r="T156" s="1">
        <v>5699</v>
      </c>
      <c r="U156" s="1" t="s">
        <v>381</v>
      </c>
      <c r="Y156" s="1" t="b">
        <v>1</v>
      </c>
      <c r="AA156" s="1" t="s">
        <v>94</v>
      </c>
      <c r="AC156" s="1">
        <v>910</v>
      </c>
      <c r="AD156" s="31">
        <v>46225</v>
      </c>
      <c r="AE156" s="31">
        <v>46161</v>
      </c>
      <c r="AF156" s="1">
        <v>102</v>
      </c>
      <c r="AG156" s="1">
        <v>102</v>
      </c>
      <c r="AH156" s="1" t="s">
        <v>414</v>
      </c>
      <c r="AI156" s="1" t="b">
        <v>0</v>
      </c>
      <c r="AJ156" s="1" t="s">
        <v>694</v>
      </c>
      <c r="AK156" s="1" t="str">
        <f>IF(ISBLANK(SharePointTasks[[#This Row],[Operational ActionId]]), SharePointTasks[[#This Row],[Title]], SharePointTasks[[#This Row],[Title]] &amp; " (" &amp; VLOOKUP(SharePointTasks[[#This Row],[Operational ActionId]], Operational_Actions[], 6, FALSE) &amp; ")")</f>
        <v>Region Commissioners Conference</v>
      </c>
      <c r="AM156" s="1" t="str">
        <v>Region Commissioners Conference</v>
      </c>
    </row>
    <row r="157" spans="1:39" x14ac:dyDescent="0.2">
      <c r="A157" s="1">
        <v>0</v>
      </c>
      <c r="B157" s="1">
        <v>1105</v>
      </c>
      <c r="D157" s="1" t="s">
        <v>348</v>
      </c>
      <c r="E157" s="1" t="s">
        <v>486</v>
      </c>
      <c r="F157" s="1" t="s">
        <v>686</v>
      </c>
      <c r="G157" s="1" t="s">
        <v>378</v>
      </c>
      <c r="J157" s="1" t="s">
        <v>87</v>
      </c>
      <c r="K157" s="31">
        <v>46219</v>
      </c>
      <c r="L157" s="31">
        <v>46221</v>
      </c>
      <c r="P157" s="1" t="s">
        <v>379</v>
      </c>
      <c r="Q157" s="1" t="s">
        <v>379</v>
      </c>
      <c r="S157" s="1" t="s">
        <v>380</v>
      </c>
      <c r="T157" s="1">
        <v>7584</v>
      </c>
      <c r="U157" s="1" t="s">
        <v>381</v>
      </c>
      <c r="AA157" s="1" t="s">
        <v>5</v>
      </c>
      <c r="AC157" s="1">
        <v>1105</v>
      </c>
      <c r="AD157" s="31">
        <v>46221</v>
      </c>
      <c r="AE157" s="31">
        <v>46161</v>
      </c>
      <c r="AF157" s="1">
        <v>102</v>
      </c>
      <c r="AG157" s="1">
        <v>102</v>
      </c>
      <c r="AH157" s="1" t="s">
        <v>519</v>
      </c>
      <c r="AI157" s="1" t="b">
        <v>0</v>
      </c>
      <c r="AJ157" s="1" t="s">
        <v>687</v>
      </c>
      <c r="AK157" s="1" t="str">
        <f>IF(ISBLANK(SharePointTasks[[#This Row],[Operational ActionId]]), SharePointTasks[[#This Row],[Title]], SharePointTasks[[#This Row],[Title]] &amp; " (" &amp; VLOOKUP(SharePointTasks[[#This Row],[Operational ActionId]], Operational_Actions[], 6, FALSE) &amp; ")")</f>
        <v>Scouting Leadership (Rockhampton)</v>
      </c>
      <c r="AM157" s="1" t="str">
        <v>Scouting Leadership (Rockhampton)</v>
      </c>
    </row>
    <row r="158" spans="1:39" x14ac:dyDescent="0.2">
      <c r="A158" s="1">
        <v>0</v>
      </c>
      <c r="B158" s="1">
        <v>1107</v>
      </c>
      <c r="D158" s="1" t="s">
        <v>348</v>
      </c>
      <c r="E158" s="1" t="s">
        <v>482</v>
      </c>
      <c r="F158" s="1" t="s">
        <v>684</v>
      </c>
      <c r="G158" s="1" t="s">
        <v>378</v>
      </c>
      <c r="J158" s="1" t="s">
        <v>87</v>
      </c>
      <c r="K158" s="31">
        <v>46219</v>
      </c>
      <c r="L158" s="31">
        <v>46221</v>
      </c>
      <c r="P158" s="1" t="s">
        <v>379</v>
      </c>
      <c r="Q158" s="1" t="s">
        <v>379</v>
      </c>
      <c r="S158" s="1" t="s">
        <v>380</v>
      </c>
      <c r="T158" s="1">
        <v>7586</v>
      </c>
      <c r="U158" s="1" t="s">
        <v>381</v>
      </c>
      <c r="AA158" s="1" t="s">
        <v>5</v>
      </c>
      <c r="AC158" s="1">
        <v>1107</v>
      </c>
      <c r="AD158" s="31">
        <v>46221</v>
      </c>
      <c r="AE158" s="31">
        <v>46161</v>
      </c>
      <c r="AF158" s="1">
        <v>102</v>
      </c>
      <c r="AG158" s="1">
        <v>102</v>
      </c>
      <c r="AH158" s="1" t="s">
        <v>519</v>
      </c>
      <c r="AI158" s="1" t="b">
        <v>0</v>
      </c>
      <c r="AJ158" s="1" t="s">
        <v>685</v>
      </c>
      <c r="AK158" s="1" t="str">
        <f>IF(ISBLANK(SharePointTasks[[#This Row],[Operational ActionId]]), SharePointTasks[[#This Row],[Title]], SharePointTasks[[#This Row],[Title]] &amp; " (" &amp; VLOOKUP(SharePointTasks[[#This Row],[Operational ActionId]], Operational_Actions[], 6, FALSE) &amp; ")")</f>
        <v>Scouting Adventure (Townsville)</v>
      </c>
      <c r="AM158" s="1" t="str">
        <v>Scouting Adventure (Townsville)</v>
      </c>
    </row>
    <row r="159" spans="1:39" x14ac:dyDescent="0.2">
      <c r="A159" s="1">
        <v>0</v>
      </c>
      <c r="B159" s="1">
        <v>1163</v>
      </c>
      <c r="D159" s="1" t="s">
        <v>348</v>
      </c>
      <c r="E159" s="1" t="s">
        <v>695</v>
      </c>
      <c r="G159" s="1" t="s">
        <v>696</v>
      </c>
      <c r="I159" s="1" t="s">
        <v>658</v>
      </c>
      <c r="J159" s="1" t="s">
        <v>697</v>
      </c>
      <c r="K159" s="31">
        <v>46219</v>
      </c>
      <c r="L159" s="31">
        <v>46219</v>
      </c>
      <c r="P159" s="1" t="s">
        <v>379</v>
      </c>
      <c r="Q159" s="1" t="s">
        <v>379</v>
      </c>
      <c r="U159" s="1" t="s">
        <v>381</v>
      </c>
      <c r="X159" s="1">
        <v>12</v>
      </c>
      <c r="Y159" s="1" t="b">
        <v>1</v>
      </c>
      <c r="AA159" s="1" t="s">
        <v>6</v>
      </c>
      <c r="AC159" s="1">
        <v>1163</v>
      </c>
      <c r="AD159" s="31">
        <v>46219</v>
      </c>
      <c r="AE159" s="31">
        <v>46219</v>
      </c>
      <c r="AF159" s="1">
        <v>102</v>
      </c>
      <c r="AG159" s="1">
        <v>102</v>
      </c>
      <c r="AH159" s="1" t="s">
        <v>660</v>
      </c>
      <c r="AI159" s="1" t="b">
        <v>0</v>
      </c>
      <c r="AJ159" s="1" t="s">
        <v>698</v>
      </c>
      <c r="AK159" s="1" t="str">
        <f>IF(ISBLANK(SharePointTasks[[#This Row],[Operational ActionId]]), SharePointTasks[[#This Row],[Title]], SharePointTasks[[#This Row],[Title]] &amp; " (" &amp; VLOOKUP(SharePointTasks[[#This Row],[Operational ActionId]], Operational_Actions[], 6, FALSE) &amp; ")")</f>
        <v>Scout Shop provided with updated artwork for Record Books and Program Handbook, to enable start of production (Achievement Pathways Improvements (2026))</v>
      </c>
      <c r="AM159" s="1" t="str">
        <v>Scout Shop provided with updated artwork for Record Books and Program Handbook, to enable start of production (Achievement Pathways Improvements (2026))</v>
      </c>
    </row>
    <row r="160" spans="1:39" x14ac:dyDescent="0.2">
      <c r="A160" s="1">
        <v>0</v>
      </c>
      <c r="B160" s="1">
        <v>997</v>
      </c>
      <c r="D160" s="1" t="s">
        <v>348</v>
      </c>
      <c r="E160" s="1" t="s">
        <v>405</v>
      </c>
      <c r="F160" s="1" t="s">
        <v>406</v>
      </c>
      <c r="G160" s="1" t="s">
        <v>378</v>
      </c>
      <c r="J160" s="1" t="s">
        <v>87</v>
      </c>
      <c r="K160" s="31">
        <v>46221</v>
      </c>
      <c r="L160" s="31">
        <v>46221</v>
      </c>
      <c r="P160" s="1" t="s">
        <v>379</v>
      </c>
      <c r="Q160" s="1" t="s">
        <v>379</v>
      </c>
      <c r="T160" s="1">
        <v>5787</v>
      </c>
      <c r="U160" s="1" t="s">
        <v>381</v>
      </c>
      <c r="Y160" s="1" t="b">
        <v>1</v>
      </c>
      <c r="AA160" s="1" t="s">
        <v>94</v>
      </c>
      <c r="AC160" s="1">
        <v>997</v>
      </c>
      <c r="AD160" s="31">
        <v>46225</v>
      </c>
      <c r="AE160" s="31">
        <v>46161</v>
      </c>
      <c r="AF160" s="1">
        <v>102</v>
      </c>
      <c r="AG160" s="1">
        <v>102</v>
      </c>
      <c r="AH160" s="1" t="s">
        <v>414</v>
      </c>
      <c r="AI160" s="1" t="b">
        <v>0</v>
      </c>
      <c r="AJ160" s="1" t="s">
        <v>700</v>
      </c>
      <c r="AK160" s="1" t="str">
        <f>IF(ISBLANK(SharePointTasks[[#This Row],[Operational ActionId]]), SharePointTasks[[#This Row],[Title]], SharePointTasks[[#This Row],[Title]] &amp; " (" &amp; VLOOKUP(SharePointTasks[[#This Row],[Operational ActionId]], Operational_Actions[], 6, FALSE) &amp; ")")</f>
        <v>Queensland Branch Rover Council Meeting</v>
      </c>
      <c r="AM160" s="1" t="str">
        <v>Queensland Branch Rover Council Meeting</v>
      </c>
    </row>
    <row r="161" spans="1:39" x14ac:dyDescent="0.2">
      <c r="A161" s="1">
        <v>0</v>
      </c>
      <c r="B161" s="1">
        <v>1005</v>
      </c>
      <c r="D161" s="1" t="s">
        <v>348</v>
      </c>
      <c r="E161" s="1" t="s">
        <v>701</v>
      </c>
      <c r="F161" s="1" t="s">
        <v>702</v>
      </c>
      <c r="G161" s="1" t="s">
        <v>378</v>
      </c>
      <c r="J161" s="1" t="s">
        <v>87</v>
      </c>
      <c r="K161" s="31">
        <v>46221</v>
      </c>
      <c r="L161" s="31">
        <v>46221</v>
      </c>
      <c r="P161" s="1" t="s">
        <v>379</v>
      </c>
      <c r="Q161" s="1" t="s">
        <v>379</v>
      </c>
      <c r="S161" s="1" t="s">
        <v>703</v>
      </c>
      <c r="T161" s="1">
        <v>6590</v>
      </c>
      <c r="U161" s="1" t="s">
        <v>381</v>
      </c>
      <c r="Y161" s="1" t="b">
        <v>1</v>
      </c>
      <c r="AA161" s="1" t="s">
        <v>94</v>
      </c>
      <c r="AC161" s="1">
        <v>1005</v>
      </c>
      <c r="AD161" s="31">
        <v>46225</v>
      </c>
      <c r="AE161" s="31">
        <v>46161</v>
      </c>
      <c r="AF161" s="1">
        <v>102</v>
      </c>
      <c r="AG161" s="1">
        <v>102</v>
      </c>
      <c r="AH161" s="1" t="s">
        <v>414</v>
      </c>
      <c r="AI161" s="1" t="b">
        <v>0</v>
      </c>
      <c r="AJ161" s="1" t="s">
        <v>704</v>
      </c>
      <c r="AK161" s="1" t="str">
        <f>IF(ISBLANK(SharePointTasks[[#This Row],[Operational ActionId]]), SharePointTasks[[#This Row],[Title]], SharePointTasks[[#This Row],[Title]] &amp; " (" &amp; VLOOKUP(SharePointTasks[[#This Row],[Operational ActionId]], Operational_Actions[], 6, FALSE) &amp; ")")</f>
        <v>Tyakunda Trailblazer</v>
      </c>
      <c r="AM161" s="1" t="str">
        <v>Tyakunda Trailblazer</v>
      </c>
    </row>
    <row r="162" spans="1:39" x14ac:dyDescent="0.2">
      <c r="A162" s="1">
        <v>0</v>
      </c>
      <c r="B162" s="1">
        <v>956</v>
      </c>
      <c r="D162" s="1" t="s">
        <v>348</v>
      </c>
      <c r="E162" s="1" t="s">
        <v>409</v>
      </c>
      <c r="F162" s="1" t="s">
        <v>410</v>
      </c>
      <c r="G162" s="1" t="s">
        <v>378</v>
      </c>
      <c r="J162" s="1" t="s">
        <v>87</v>
      </c>
      <c r="K162" s="31">
        <v>46222</v>
      </c>
      <c r="L162" s="31">
        <v>46222</v>
      </c>
      <c r="P162" s="1" t="s">
        <v>379</v>
      </c>
      <c r="Q162" s="1" t="s">
        <v>379</v>
      </c>
      <c r="T162" s="1">
        <v>5746</v>
      </c>
      <c r="U162" s="1" t="s">
        <v>381</v>
      </c>
      <c r="AA162" s="1" t="s">
        <v>5</v>
      </c>
      <c r="AC162" s="1">
        <v>956</v>
      </c>
      <c r="AD162" s="31">
        <v>46221</v>
      </c>
      <c r="AE162" s="31">
        <v>46161</v>
      </c>
      <c r="AF162" s="1">
        <v>102</v>
      </c>
      <c r="AG162" s="1">
        <v>102</v>
      </c>
      <c r="AH162" s="1" t="s">
        <v>519</v>
      </c>
      <c r="AI162" s="1" t="b">
        <v>0</v>
      </c>
      <c r="AJ162" s="1" t="s">
        <v>706</v>
      </c>
      <c r="AK162" s="1" t="str">
        <f>IF(ISBLANK(SharePointTasks[[#This Row],[Operational ActionId]]), SharePointTasks[[#This Row],[Title]], SharePointTasks[[#This Row],[Title]] &amp; " (" &amp; VLOOKUP(SharePointTasks[[#This Row],[Operational ActionId]], Operational_Actions[], 6, FALSE) &amp; ")")</f>
        <v>Branch Finance Committee</v>
      </c>
      <c r="AM162" s="1" t="str">
        <v>Branch Finance Committee</v>
      </c>
    </row>
    <row r="163" spans="1:39" x14ac:dyDescent="0.2">
      <c r="A163" s="1">
        <v>0</v>
      </c>
      <c r="B163" s="1">
        <v>976</v>
      </c>
      <c r="D163" s="1" t="s">
        <v>348</v>
      </c>
      <c r="E163" s="1" t="s">
        <v>440</v>
      </c>
      <c r="F163" s="1" t="s">
        <v>406</v>
      </c>
      <c r="G163" s="1" t="s">
        <v>378</v>
      </c>
      <c r="J163" s="1" t="s">
        <v>87</v>
      </c>
      <c r="K163" s="31">
        <v>46222</v>
      </c>
      <c r="L163" s="31">
        <v>46222</v>
      </c>
      <c r="P163" s="1" t="s">
        <v>379</v>
      </c>
      <c r="Q163" s="1" t="s">
        <v>379</v>
      </c>
      <c r="T163" s="1">
        <v>5766</v>
      </c>
      <c r="U163" s="1" t="s">
        <v>381</v>
      </c>
      <c r="Y163" s="1" t="b">
        <v>1</v>
      </c>
      <c r="Z163" s="1" t="s">
        <v>413</v>
      </c>
      <c r="AA163" s="1" t="s">
        <v>94</v>
      </c>
      <c r="AC163" s="1">
        <v>976</v>
      </c>
      <c r="AD163" s="31">
        <v>46225</v>
      </c>
      <c r="AE163" s="31">
        <v>46161</v>
      </c>
      <c r="AF163" s="1">
        <v>102</v>
      </c>
      <c r="AG163" s="1">
        <v>102</v>
      </c>
      <c r="AH163" s="1" t="s">
        <v>676</v>
      </c>
      <c r="AI163" s="1" t="b">
        <v>0</v>
      </c>
      <c r="AJ163" s="1" t="s">
        <v>705</v>
      </c>
      <c r="AK163" s="1" t="str">
        <f>IF(ISBLANK(SharePointTasks[[#This Row],[Operational ActionId]]), SharePointTasks[[#This Row],[Title]], SharePointTasks[[#This Row],[Title]] &amp; " (" &amp; VLOOKUP(SharePointTasks[[#This Row],[Operational ActionId]], Operational_Actions[], 6, FALSE) &amp; ")")</f>
        <v>Branch Scout Section Council</v>
      </c>
      <c r="AM163" s="1" t="str">
        <v>Branch Scout Section Council</v>
      </c>
    </row>
    <row r="164" spans="1:39" x14ac:dyDescent="0.2">
      <c r="A164" s="1">
        <v>0</v>
      </c>
      <c r="B164" s="1">
        <v>1106</v>
      </c>
      <c r="D164" s="1" t="s">
        <v>348</v>
      </c>
      <c r="E164" s="1" t="s">
        <v>498</v>
      </c>
      <c r="F164" s="1" t="s">
        <v>707</v>
      </c>
      <c r="G164" s="1" t="s">
        <v>378</v>
      </c>
      <c r="J164" s="1" t="s">
        <v>87</v>
      </c>
      <c r="K164" s="31">
        <v>46223</v>
      </c>
      <c r="L164" s="31">
        <v>46223</v>
      </c>
      <c r="P164" s="1" t="s">
        <v>379</v>
      </c>
      <c r="Q164" s="1" t="s">
        <v>379</v>
      </c>
      <c r="S164" s="1" t="s">
        <v>380</v>
      </c>
      <c r="T164" s="1">
        <v>7585</v>
      </c>
      <c r="U164" s="1" t="s">
        <v>381</v>
      </c>
      <c r="AA164" s="1" t="s">
        <v>5</v>
      </c>
      <c r="AC164" s="1">
        <v>1106</v>
      </c>
      <c r="AD164" s="31">
        <v>46221</v>
      </c>
      <c r="AE164" s="31">
        <v>46161</v>
      </c>
      <c r="AF164" s="1">
        <v>102</v>
      </c>
      <c r="AG164" s="1">
        <v>102</v>
      </c>
      <c r="AH164" s="1" t="s">
        <v>519</v>
      </c>
      <c r="AI164" s="1" t="b">
        <v>0</v>
      </c>
      <c r="AJ164" s="1" t="s">
        <v>708</v>
      </c>
      <c r="AK164" s="1" t="str">
        <f>IF(ISBLANK(SharePointTasks[[#This Row],[Operational ActionId]]), SharePointTasks[[#This Row],[Title]], SharePointTasks[[#This Row],[Title]] &amp; " (" &amp; VLOOKUP(SharePointTasks[[#This Row],[Operational ActionId]], Operational_Actions[], 6, FALSE) &amp; ")")</f>
        <v>Scouting Management - Group Leaders (Online)</v>
      </c>
      <c r="AM164" s="1" t="str">
        <v>Scouting Management - Group Leaders (Online)</v>
      </c>
    </row>
    <row r="165" spans="1:39" x14ac:dyDescent="0.2">
      <c r="A165" s="1">
        <v>0</v>
      </c>
      <c r="B165" s="1">
        <v>903</v>
      </c>
      <c r="D165" s="1" t="s">
        <v>348</v>
      </c>
      <c r="E165" s="1" t="s">
        <v>709</v>
      </c>
      <c r="G165" s="1" t="s">
        <v>378</v>
      </c>
      <c r="J165" s="1" t="s">
        <v>87</v>
      </c>
      <c r="K165" s="31">
        <v>46226</v>
      </c>
      <c r="L165" s="31">
        <v>46228</v>
      </c>
      <c r="P165" s="1" t="s">
        <v>379</v>
      </c>
      <c r="Q165" s="1" t="s">
        <v>379</v>
      </c>
      <c r="T165" s="1">
        <v>5692</v>
      </c>
      <c r="U165" s="1" t="s">
        <v>381</v>
      </c>
      <c r="Y165" s="1" t="b">
        <v>1</v>
      </c>
      <c r="AA165" s="1" t="s">
        <v>94</v>
      </c>
      <c r="AC165" s="1">
        <v>903</v>
      </c>
      <c r="AD165" s="31">
        <v>46225</v>
      </c>
      <c r="AE165" s="31">
        <v>46161</v>
      </c>
      <c r="AF165" s="1">
        <v>102</v>
      </c>
      <c r="AG165" s="1">
        <v>102</v>
      </c>
      <c r="AH165" s="1" t="s">
        <v>414</v>
      </c>
      <c r="AI165" s="1" t="b">
        <v>0</v>
      </c>
      <c r="AJ165" s="1" t="s">
        <v>710</v>
      </c>
      <c r="AK165" s="1" t="str">
        <f>IF(ISBLANK(SharePointTasks[[#This Row],[Operational ActionId]]), SharePointTasks[[#This Row],[Title]], SharePointTasks[[#This Row],[Title]] &amp; " (" &amp; VLOOKUP(SharePointTasks[[#This Row],[Operational ActionId]], Operational_Actions[], 6, FALSE) &amp; ")")</f>
        <v>Adventurous Activities Conference</v>
      </c>
      <c r="AM165" s="1" t="str">
        <v>Adventurous Activities Conference</v>
      </c>
    </row>
    <row r="166" spans="1:39" x14ac:dyDescent="0.2">
      <c r="A166" s="1">
        <v>0</v>
      </c>
      <c r="B166" s="1">
        <v>944</v>
      </c>
      <c r="D166" s="1" t="s">
        <v>348</v>
      </c>
      <c r="E166" s="1" t="s">
        <v>418</v>
      </c>
      <c r="F166" s="1" t="s">
        <v>419</v>
      </c>
      <c r="G166" s="1" t="s">
        <v>378</v>
      </c>
      <c r="J166" s="1" t="s">
        <v>87</v>
      </c>
      <c r="K166" s="31">
        <v>46230</v>
      </c>
      <c r="L166" s="31">
        <v>46230</v>
      </c>
      <c r="P166" s="1" t="s">
        <v>379</v>
      </c>
      <c r="Q166" s="1" t="s">
        <v>379</v>
      </c>
      <c r="T166" s="1">
        <v>5734</v>
      </c>
      <c r="U166" s="1" t="s">
        <v>381</v>
      </c>
      <c r="AA166" s="1" t="s">
        <v>5</v>
      </c>
      <c r="AC166" s="1">
        <v>944</v>
      </c>
      <c r="AD166" s="31">
        <v>46221</v>
      </c>
      <c r="AE166" s="31">
        <v>46161</v>
      </c>
      <c r="AF166" s="1">
        <v>102</v>
      </c>
      <c r="AG166" s="1">
        <v>102</v>
      </c>
      <c r="AH166" s="1" t="s">
        <v>519</v>
      </c>
      <c r="AI166" s="1" t="b">
        <v>0</v>
      </c>
      <c r="AJ166" s="1" t="s">
        <v>711</v>
      </c>
      <c r="AK166" s="1" t="str">
        <f>IF(ISBLANK(SharePointTasks[[#This Row],[Operational ActionId]]), SharePointTasks[[#This Row],[Title]], SharePointTasks[[#This Row],[Title]] &amp; " (" &amp; VLOOKUP(SharePointTasks[[#This Row],[Operational ActionId]], Operational_Actions[], 6, FALSE) &amp; ")")</f>
        <v>Branch Executive Committee</v>
      </c>
      <c r="AM166" s="1" t="str">
        <v>Branch Executive Committee</v>
      </c>
    </row>
    <row r="167" spans="1:39" x14ac:dyDescent="0.2">
      <c r="A167" s="1">
        <v>0</v>
      </c>
      <c r="B167" s="1">
        <v>927</v>
      </c>
      <c r="D167" s="1" t="s">
        <v>348</v>
      </c>
      <c r="E167" s="1" t="s">
        <v>712</v>
      </c>
      <c r="F167" s="1" t="s">
        <v>713</v>
      </c>
      <c r="G167" s="1" t="s">
        <v>378</v>
      </c>
      <c r="J167" s="1" t="s">
        <v>87</v>
      </c>
      <c r="K167" s="31">
        <v>46232</v>
      </c>
      <c r="L167" s="31">
        <v>46232</v>
      </c>
      <c r="P167" s="1" t="s">
        <v>379</v>
      </c>
      <c r="Q167" s="1" t="s">
        <v>379</v>
      </c>
      <c r="T167" s="1">
        <v>5717</v>
      </c>
      <c r="U167" s="1" t="s">
        <v>381</v>
      </c>
      <c r="Y167" s="1" t="b">
        <v>1</v>
      </c>
      <c r="AA167" s="1" t="s">
        <v>94</v>
      </c>
      <c r="AC167" s="1">
        <v>927</v>
      </c>
      <c r="AD167" s="31">
        <v>46225</v>
      </c>
      <c r="AE167" s="31">
        <v>46161</v>
      </c>
      <c r="AF167" s="1">
        <v>102</v>
      </c>
      <c r="AG167" s="1">
        <v>102</v>
      </c>
      <c r="AH167" s="1" t="s">
        <v>414</v>
      </c>
      <c r="AI167" s="1" t="b">
        <v>0</v>
      </c>
      <c r="AJ167" s="1" t="s">
        <v>714</v>
      </c>
      <c r="AK167" s="1" t="str">
        <f>IF(ISBLANK(SharePointTasks[[#This Row],[Operational ActionId]]), SharePointTasks[[#This Row],[Title]], SharePointTasks[[#This Row],[Title]] &amp; " (" &amp; VLOOKUP(SharePointTasks[[#This Row],[Operational ActionId]], Operational_Actions[], 6, FALSE) &amp; ")")</f>
        <v>Branch Council (AGM)</v>
      </c>
      <c r="AM167" s="1" t="str">
        <v>Branch Council (AGM)</v>
      </c>
    </row>
    <row r="168" spans="1:39" x14ac:dyDescent="0.2">
      <c r="A168" s="1">
        <v>0</v>
      </c>
      <c r="B168" s="1">
        <v>1108</v>
      </c>
      <c r="D168" s="1" t="s">
        <v>348</v>
      </c>
      <c r="E168" s="1" t="s">
        <v>718</v>
      </c>
      <c r="F168" s="1" t="s">
        <v>719</v>
      </c>
      <c r="G168" s="1" t="s">
        <v>378</v>
      </c>
      <c r="J168" s="1" t="s">
        <v>87</v>
      </c>
      <c r="K168" s="31">
        <v>46233</v>
      </c>
      <c r="L168" s="31">
        <v>46235</v>
      </c>
      <c r="P168" s="1" t="s">
        <v>379</v>
      </c>
      <c r="Q168" s="1" t="s">
        <v>379</v>
      </c>
      <c r="S168" s="1" t="s">
        <v>380</v>
      </c>
      <c r="T168" s="1">
        <v>7587</v>
      </c>
      <c r="U168" s="1" t="s">
        <v>381</v>
      </c>
      <c r="Y168" s="1" t="b">
        <v>0</v>
      </c>
      <c r="AA168" s="1" t="s">
        <v>5</v>
      </c>
      <c r="AC168" s="1">
        <v>1108</v>
      </c>
      <c r="AD168" s="31">
        <v>46221</v>
      </c>
      <c r="AE168" s="31">
        <v>46161</v>
      </c>
      <c r="AF168" s="1">
        <v>102</v>
      </c>
      <c r="AG168" s="1">
        <v>102</v>
      </c>
      <c r="AH168" s="1" t="s">
        <v>414</v>
      </c>
      <c r="AI168" s="1" t="b">
        <v>0</v>
      </c>
      <c r="AJ168" s="1" t="s">
        <v>720</v>
      </c>
      <c r="AK168" s="1" t="str">
        <f>IF(ISBLANK(SharePointTasks[[#This Row],[Operational ActionId]]), SharePointTasks[[#This Row],[Title]], SharePointTasks[[#This Row],[Title]] &amp; " (" &amp; VLOOKUP(SharePointTasks[[#This Row],[Operational ActionId]], Operational_Actions[], 6, FALSE) &amp; ")")</f>
        <v>Scouting Leadership (FNR)</v>
      </c>
      <c r="AM168" s="1" t="str">
        <v>Scouting Leadership (FNR)</v>
      </c>
    </row>
    <row r="169" spans="1:39" x14ac:dyDescent="0.2">
      <c r="A169" s="1">
        <v>0</v>
      </c>
      <c r="B169" s="1">
        <v>1110</v>
      </c>
      <c r="D169" s="1" t="s">
        <v>348</v>
      </c>
      <c r="E169" s="1" t="s">
        <v>715</v>
      </c>
      <c r="F169" s="1" t="s">
        <v>716</v>
      </c>
      <c r="G169" s="1" t="s">
        <v>378</v>
      </c>
      <c r="J169" s="1" t="s">
        <v>87</v>
      </c>
      <c r="K169" s="31">
        <v>46233</v>
      </c>
      <c r="L169" s="31">
        <v>46235</v>
      </c>
      <c r="P169" s="1" t="s">
        <v>379</v>
      </c>
      <c r="Q169" s="1" t="s">
        <v>379</v>
      </c>
      <c r="S169" s="1" t="s">
        <v>380</v>
      </c>
      <c r="T169" s="1">
        <v>7589</v>
      </c>
      <c r="U169" s="1" t="s">
        <v>381</v>
      </c>
      <c r="AA169" s="1" t="s">
        <v>5</v>
      </c>
      <c r="AC169" s="1">
        <v>1110</v>
      </c>
      <c r="AD169" s="31">
        <v>46221</v>
      </c>
      <c r="AE169" s="31">
        <v>46161</v>
      </c>
      <c r="AF169" s="1">
        <v>102</v>
      </c>
      <c r="AG169" s="1">
        <v>102</v>
      </c>
      <c r="AH169" s="1" t="s">
        <v>519</v>
      </c>
      <c r="AI169" s="1" t="b">
        <v>0</v>
      </c>
      <c r="AJ169" s="1" t="s">
        <v>717</v>
      </c>
      <c r="AK169" s="1" t="str">
        <f>IF(ISBLANK(SharePointTasks[[#This Row],[Operational ActionId]]), SharePointTasks[[#This Row],[Title]], SharePointTasks[[#This Row],[Title]] &amp; " (" &amp; VLOOKUP(SharePointTasks[[#This Row],[Operational ActionId]], Operational_Actions[], 6, FALSE) &amp; ")")</f>
        <v>Scouting Essentials (Sunshine Coast)</v>
      </c>
      <c r="AM169" s="1" t="str">
        <v>Scouting Essentials (Sunshine Coast)</v>
      </c>
    </row>
    <row r="170" spans="1:39" x14ac:dyDescent="0.2">
      <c r="A170" s="1">
        <v>0</v>
      </c>
      <c r="B170" s="1">
        <v>883</v>
      </c>
      <c r="D170" s="1" t="s">
        <v>348</v>
      </c>
      <c r="E170" s="1" t="s">
        <v>729</v>
      </c>
      <c r="F170" s="1" t="s">
        <v>416</v>
      </c>
      <c r="G170" s="1" t="s">
        <v>378</v>
      </c>
      <c r="J170" s="1" t="s">
        <v>87</v>
      </c>
      <c r="K170" s="31">
        <v>46234</v>
      </c>
      <c r="L170" s="31">
        <v>46234</v>
      </c>
      <c r="P170" s="1" t="s">
        <v>379</v>
      </c>
      <c r="Q170" s="1" t="s">
        <v>379</v>
      </c>
      <c r="T170" s="1">
        <v>5670</v>
      </c>
      <c r="U170" s="1" t="s">
        <v>381</v>
      </c>
      <c r="Y170" s="1" t="b">
        <v>1</v>
      </c>
      <c r="Z170" s="1" t="s">
        <v>413</v>
      </c>
      <c r="AA170" s="1" t="s">
        <v>94</v>
      </c>
      <c r="AC170" s="1">
        <v>883</v>
      </c>
      <c r="AD170" s="31">
        <v>46225</v>
      </c>
      <c r="AE170" s="31">
        <v>46161</v>
      </c>
      <c r="AF170" s="1">
        <v>102</v>
      </c>
      <c r="AG170" s="1">
        <v>102</v>
      </c>
      <c r="AH170" s="1" t="s">
        <v>676</v>
      </c>
      <c r="AI170" s="1" t="b">
        <v>0</v>
      </c>
      <c r="AJ170" s="1" t="s">
        <v>730</v>
      </c>
      <c r="AK170" s="1" t="str">
        <f>IF(ISBLANK(SharePointTasks[[#This Row],[Operational ActionId]]), SharePointTasks[[#This Row],[Title]], SharePointTasks[[#This Row],[Title]] &amp; " (" &amp; VLOOKUP(SharePointTasks[[#This Row],[Operational ActionId]], Operational_Actions[], 6, FALSE) &amp; ")")</f>
        <v>Joey Scout Jaunt (South)</v>
      </c>
      <c r="AM170" s="1" t="str">
        <v>Joey Scout Jaunt (South)</v>
      </c>
    </row>
    <row r="171" spans="1:39" x14ac:dyDescent="0.2">
      <c r="A171" s="1">
        <v>0</v>
      </c>
      <c r="B171" s="1">
        <v>901</v>
      </c>
      <c r="D171" s="1" t="s">
        <v>348</v>
      </c>
      <c r="E171" s="1" t="s">
        <v>732</v>
      </c>
      <c r="F171" s="1" t="s">
        <v>733</v>
      </c>
      <c r="G171" s="1" t="s">
        <v>378</v>
      </c>
      <c r="J171" s="1" t="s">
        <v>87</v>
      </c>
      <c r="K171" s="31">
        <v>46234</v>
      </c>
      <c r="L171" s="31">
        <v>46234</v>
      </c>
      <c r="P171" s="1" t="s">
        <v>379</v>
      </c>
      <c r="Q171" s="1" t="s">
        <v>379</v>
      </c>
      <c r="T171" s="1">
        <v>5690</v>
      </c>
      <c r="U171" s="1" t="s">
        <v>381</v>
      </c>
      <c r="Y171" s="1" t="b">
        <v>1</v>
      </c>
      <c r="AA171" s="1" t="s">
        <v>94</v>
      </c>
      <c r="AC171" s="1">
        <v>901</v>
      </c>
      <c r="AD171" s="31">
        <v>46225</v>
      </c>
      <c r="AE171" s="31">
        <v>46161</v>
      </c>
      <c r="AF171" s="1">
        <v>102</v>
      </c>
      <c r="AG171" s="1">
        <v>102</v>
      </c>
      <c r="AH171" s="1" t="s">
        <v>414</v>
      </c>
      <c r="AI171" s="1" t="b">
        <v>0</v>
      </c>
      <c r="AJ171" s="1" t="s">
        <v>734</v>
      </c>
      <c r="AK171" s="1" t="str">
        <f>IF(ISBLANK(SharePointTasks[[#This Row],[Operational ActionId]]), SharePointTasks[[#This Row],[Title]], SharePointTasks[[#This Row],[Title]] &amp; " (" &amp; VLOOKUP(SharePointTasks[[#This Row],[Operational ActionId]], Operational_Actions[], 6, FALSE) &amp; ")")</f>
        <v>World Scout Day</v>
      </c>
      <c r="AM171" s="1" t="str">
        <v>World Scout Day</v>
      </c>
    </row>
    <row r="172" spans="1:39" x14ac:dyDescent="0.2">
      <c r="A172" s="1">
        <v>0</v>
      </c>
      <c r="B172" s="1">
        <v>1111</v>
      </c>
      <c r="D172" s="1" t="s">
        <v>348</v>
      </c>
      <c r="E172" s="1" t="s">
        <v>401</v>
      </c>
      <c r="F172" s="1" t="s">
        <v>402</v>
      </c>
      <c r="G172" s="1" t="s">
        <v>378</v>
      </c>
      <c r="J172" s="1" t="s">
        <v>87</v>
      </c>
      <c r="K172" s="31">
        <v>46234</v>
      </c>
      <c r="L172" s="31">
        <v>46234</v>
      </c>
      <c r="P172" s="1" t="s">
        <v>379</v>
      </c>
      <c r="Q172" s="1" t="s">
        <v>379</v>
      </c>
      <c r="S172" s="1" t="s">
        <v>380</v>
      </c>
      <c r="T172" s="1">
        <v>7590</v>
      </c>
      <c r="U172" s="1" t="s">
        <v>381</v>
      </c>
      <c r="AA172" s="1" t="s">
        <v>5</v>
      </c>
      <c r="AC172" s="1">
        <v>1111</v>
      </c>
      <c r="AD172" s="31">
        <v>46221</v>
      </c>
      <c r="AE172" s="31">
        <v>46161</v>
      </c>
      <c r="AF172" s="1">
        <v>102</v>
      </c>
      <c r="AG172" s="1">
        <v>102</v>
      </c>
      <c r="AH172" s="1" t="s">
        <v>519</v>
      </c>
      <c r="AI172" s="1" t="b">
        <v>0</v>
      </c>
      <c r="AJ172" s="1" t="s">
        <v>731</v>
      </c>
      <c r="AK172" s="1" t="str">
        <f>IF(ISBLANK(SharePointTasks[[#This Row],[Operational ActionId]]), SharePointTasks[[#This Row],[Title]], SharePointTasks[[#This Row],[Title]] &amp; " (" &amp; VLOOKUP(SharePointTasks[[#This Row],[Operational ActionId]], Operational_Actions[], 6, FALSE) &amp; ")")</f>
        <v>Cycling - On Road - SP/TP (Wide Bay)</v>
      </c>
      <c r="AM172" s="1" t="str">
        <v>Cycling - On Road - SP/TP (Wide Bay)</v>
      </c>
    </row>
    <row r="173" spans="1:39" x14ac:dyDescent="0.2">
      <c r="A173" s="1">
        <v>0</v>
      </c>
      <c r="B173" s="1">
        <v>1164</v>
      </c>
      <c r="D173" s="1" t="s">
        <v>348</v>
      </c>
      <c r="E173" s="1" t="s">
        <v>735</v>
      </c>
      <c r="F173" s="1" t="s">
        <v>736</v>
      </c>
      <c r="G173" s="1" t="s">
        <v>696</v>
      </c>
      <c r="I173" s="1" t="s">
        <v>658</v>
      </c>
      <c r="J173" s="1" t="s">
        <v>697</v>
      </c>
      <c r="K173" s="31">
        <v>46234</v>
      </c>
      <c r="L173" s="31">
        <v>46234</v>
      </c>
      <c r="P173" s="1" t="s">
        <v>379</v>
      </c>
      <c r="Q173" s="1" t="s">
        <v>379</v>
      </c>
      <c r="U173" s="1" t="s">
        <v>381</v>
      </c>
      <c r="X173" s="1">
        <v>12</v>
      </c>
      <c r="Y173" s="1" t="b">
        <v>1</v>
      </c>
      <c r="AA173" s="1" t="s">
        <v>7</v>
      </c>
      <c r="AC173" s="1">
        <v>1164</v>
      </c>
      <c r="AD173" s="31">
        <v>46219</v>
      </c>
      <c r="AE173" s="31">
        <v>46219</v>
      </c>
      <c r="AF173" s="1">
        <v>102</v>
      </c>
      <c r="AG173" s="1">
        <v>102</v>
      </c>
      <c r="AH173" s="1" t="s">
        <v>519</v>
      </c>
      <c r="AI173" s="1" t="b">
        <v>0</v>
      </c>
      <c r="AJ173" s="1" t="s">
        <v>737</v>
      </c>
      <c r="AK173" s="1" t="str">
        <f>IF(ISBLANK(SharePointTasks[[#This Row],[Operational ActionId]]), SharePointTasks[[#This Row],[Title]], SharePointTasks[[#This Row],[Title]] &amp; " (" &amp; VLOOKUP(SharePointTasks[[#This Row],[Operational ActionId]], Operational_Actions[], 6, FALSE) &amp; ")")</f>
        <v>Memo to all National Training Team (Achievement Pathways Improvements (2026))</v>
      </c>
      <c r="AM173" s="1" t="str">
        <v>Memo to all National Training Team (Achievement Pathways Improvements (2026))</v>
      </c>
    </row>
    <row r="174" spans="1:39" x14ac:dyDescent="0.2">
      <c r="A174" s="1">
        <v>0</v>
      </c>
      <c r="B174" s="1">
        <v>1165</v>
      </c>
      <c r="D174" s="1" t="s">
        <v>348</v>
      </c>
      <c r="E174" s="1" t="s">
        <v>725</v>
      </c>
      <c r="F174" s="1" t="s">
        <v>726</v>
      </c>
      <c r="G174" s="1" t="s">
        <v>696</v>
      </c>
      <c r="I174" s="1" t="s">
        <v>658</v>
      </c>
      <c r="J174" s="1" t="s">
        <v>697</v>
      </c>
      <c r="K174" s="31">
        <v>46234</v>
      </c>
      <c r="L174" s="31">
        <v>46234</v>
      </c>
      <c r="P174" s="1" t="s">
        <v>379</v>
      </c>
      <c r="Q174" s="1" t="s">
        <v>379</v>
      </c>
      <c r="U174" s="1" t="s">
        <v>381</v>
      </c>
      <c r="X174" s="1">
        <v>12</v>
      </c>
      <c r="Y174" s="1" t="b">
        <v>1</v>
      </c>
      <c r="AA174" s="1" t="s">
        <v>7</v>
      </c>
      <c r="AC174" s="1">
        <v>1165</v>
      </c>
      <c r="AD174" s="31">
        <v>46219</v>
      </c>
      <c r="AE174" s="31">
        <v>46219</v>
      </c>
      <c r="AF174" s="1">
        <v>102</v>
      </c>
      <c r="AG174" s="1">
        <v>102</v>
      </c>
      <c r="AH174" s="1" t="s">
        <v>660</v>
      </c>
      <c r="AI174" s="1" t="b">
        <v>0</v>
      </c>
      <c r="AJ174" s="1" t="s">
        <v>727</v>
      </c>
      <c r="AK174" s="1" t="str">
        <f>IF(ISBLANK(SharePointTasks[[#This Row],[Operational ActionId]]), SharePointTasks[[#This Row],[Title]], SharePointTasks[[#This Row],[Title]] &amp; " (" &amp; VLOOKUP(SharePointTasks[[#This Row],[Operational ActionId]], Operational_Actions[], 6, FALSE) &amp; ")")</f>
        <v>Implementation support packs provided to Branch program teams (Achievement Pathways Improvements (2026))</v>
      </c>
      <c r="AM174" s="1" t="str">
        <v>Implementation support packs provided to Branch program teams (Achievement Pathways Improvements (2026))</v>
      </c>
    </row>
    <row r="175" spans="1:39" x14ac:dyDescent="0.2">
      <c r="A175" s="1">
        <v>0</v>
      </c>
      <c r="B175" s="1">
        <v>1166</v>
      </c>
      <c r="D175" s="1" t="s">
        <v>348</v>
      </c>
      <c r="E175" s="1" t="s">
        <v>721</v>
      </c>
      <c r="F175" s="1" t="s">
        <v>722</v>
      </c>
      <c r="G175" s="1" t="s">
        <v>696</v>
      </c>
      <c r="I175" s="1" t="s">
        <v>658</v>
      </c>
      <c r="J175" s="1" t="s">
        <v>697</v>
      </c>
      <c r="K175" s="31">
        <v>46234</v>
      </c>
      <c r="L175" s="31">
        <v>46247</v>
      </c>
      <c r="P175" s="1" t="s">
        <v>379</v>
      </c>
      <c r="Q175" s="1" t="s">
        <v>379</v>
      </c>
      <c r="U175" s="1" t="s">
        <v>381</v>
      </c>
      <c r="X175" s="1">
        <v>12</v>
      </c>
      <c r="Y175" s="1" t="b">
        <v>1</v>
      </c>
      <c r="AA175" s="1" t="s">
        <v>4</v>
      </c>
      <c r="AC175" s="1">
        <v>1166</v>
      </c>
      <c r="AD175" s="31">
        <v>46219</v>
      </c>
      <c r="AE175" s="31">
        <v>46219</v>
      </c>
      <c r="AF175" s="1">
        <v>102</v>
      </c>
      <c r="AG175" s="1">
        <v>102</v>
      </c>
      <c r="AH175" s="1" t="s">
        <v>660</v>
      </c>
      <c r="AI175" s="1" t="b">
        <v>0</v>
      </c>
      <c r="AJ175" s="1" t="s">
        <v>723</v>
      </c>
      <c r="AK175" s="1" t="str">
        <f>IF(ISBLANK(SharePointTasks[[#This Row],[Operational ActionId]]), SharePointTasks[[#This Row],[Title]], SharePointTasks[[#This Row],[Title]] &amp; " (" &amp; VLOOKUP(SharePointTasks[[#This Row],[Operational ActionId]], Operational_Actions[], 6, FALSE) &amp; ")")</f>
        <v>Information sessions for Program Support Leaders (Achievement Pathways Improvements (2026))</v>
      </c>
      <c r="AM175" s="1" t="str">
        <v>Information sessions for Program Support Leaders (Achievement Pathways Improvements (2026))</v>
      </c>
    </row>
    <row r="176" spans="1:39" x14ac:dyDescent="0.2">
      <c r="A176" s="1">
        <v>0</v>
      </c>
      <c r="B176" s="1">
        <v>1112</v>
      </c>
      <c r="D176" s="1" t="s">
        <v>348</v>
      </c>
      <c r="E176" s="1" t="s">
        <v>427</v>
      </c>
      <c r="F176" s="1" t="s">
        <v>428</v>
      </c>
      <c r="G176" s="1" t="s">
        <v>378</v>
      </c>
      <c r="J176" s="1" t="s">
        <v>87</v>
      </c>
      <c r="K176" s="31">
        <v>46235</v>
      </c>
      <c r="L176" s="31">
        <v>46235</v>
      </c>
      <c r="P176" s="1" t="s">
        <v>379</v>
      </c>
      <c r="Q176" s="1" t="s">
        <v>379</v>
      </c>
      <c r="S176" s="1" t="s">
        <v>380</v>
      </c>
      <c r="T176" s="1">
        <v>7591</v>
      </c>
      <c r="U176" s="1" t="s">
        <v>381</v>
      </c>
      <c r="AA176" s="1" t="s">
        <v>5</v>
      </c>
      <c r="AC176" s="1">
        <v>1112</v>
      </c>
      <c r="AD176" s="31">
        <v>46221</v>
      </c>
      <c r="AE176" s="31">
        <v>46161</v>
      </c>
      <c r="AF176" s="1">
        <v>102</v>
      </c>
      <c r="AG176" s="1">
        <v>102</v>
      </c>
      <c r="AH176" s="1" t="s">
        <v>519</v>
      </c>
      <c r="AI176" s="1" t="b">
        <v>0</v>
      </c>
      <c r="AJ176" s="1" t="s">
        <v>739</v>
      </c>
      <c r="AK176" s="1" t="str">
        <f>IF(ISBLANK(SharePointTasks[[#This Row],[Operational ActionId]]), SharePointTasks[[#This Row],[Title]], SharePointTasks[[#This Row],[Title]] &amp; " (" &amp; VLOOKUP(SharePointTasks[[#This Row],[Operational ActionId]], Operational_Actions[], 6, FALSE) &amp; ")")</f>
        <v>Cycling - Off Road - SP/TP (Wide Bay)</v>
      </c>
      <c r="AM176" s="1" t="str">
        <v>Cycling - Off Road - SP/TP (Wide Bay)</v>
      </c>
    </row>
    <row r="177" spans="1:39" x14ac:dyDescent="0.2">
      <c r="A177" s="1">
        <v>0</v>
      </c>
      <c r="B177" s="1">
        <v>1162</v>
      </c>
      <c r="D177" s="1" t="s">
        <v>348</v>
      </c>
      <c r="E177" s="1" t="s">
        <v>740</v>
      </c>
      <c r="F177" s="1" t="s">
        <v>741</v>
      </c>
      <c r="G177" s="1" t="s">
        <v>696</v>
      </c>
      <c r="J177" s="1" t="s">
        <v>697</v>
      </c>
      <c r="K177" s="31">
        <v>46237</v>
      </c>
      <c r="L177" s="31">
        <v>46237</v>
      </c>
      <c r="P177" s="1" t="s">
        <v>379</v>
      </c>
      <c r="Q177" s="1" t="s">
        <v>379</v>
      </c>
      <c r="R177" s="1" t="s">
        <v>742</v>
      </c>
      <c r="U177" s="1" t="s">
        <v>381</v>
      </c>
      <c r="X177" s="1">
        <v>12</v>
      </c>
      <c r="Y177" s="1" t="b">
        <v>1</v>
      </c>
      <c r="AA177" s="1" t="s">
        <v>4</v>
      </c>
      <c r="AC177" s="1">
        <v>1162</v>
      </c>
      <c r="AD177" s="31">
        <v>46219</v>
      </c>
      <c r="AE177" s="31">
        <v>46219</v>
      </c>
      <c r="AF177" s="1">
        <v>102</v>
      </c>
      <c r="AG177" s="1">
        <v>102</v>
      </c>
      <c r="AH177" s="1" t="s">
        <v>382</v>
      </c>
      <c r="AI177" s="1" t="b">
        <v>0</v>
      </c>
      <c r="AJ177" s="1" t="s">
        <v>743</v>
      </c>
      <c r="AK177" s="1" t="str">
        <f>IF(ISBLANK(SharePointTasks[[#This Row],[Operational ActionId]]), SharePointTasks[[#This Row],[Title]], SharePointTasks[[#This Row],[Title]] &amp; " (" &amp; VLOOKUP(SharePointTasks[[#This Row],[Operational ActionId]], Operational_Actions[], 6, FALSE) &amp; ")")</f>
        <v>Achievement Pathways Improvements Briefing (Qld / ACT) (Achievement Pathways Improvements (2026))</v>
      </c>
      <c r="AM177" s="1" t="str">
        <v>Achievement Pathways Improvements Briefing (Qld / ACT) (Achievement Pathways Improvements (2026))</v>
      </c>
    </row>
    <row r="178" spans="1:39" x14ac:dyDescent="0.2">
      <c r="A178" s="1">
        <v>0</v>
      </c>
      <c r="B178" s="1">
        <v>1113</v>
      </c>
      <c r="D178" s="1" t="s">
        <v>348</v>
      </c>
      <c r="E178" s="1" t="s">
        <v>386</v>
      </c>
      <c r="F178" s="1" t="s">
        <v>579</v>
      </c>
      <c r="G178" s="1" t="s">
        <v>378</v>
      </c>
      <c r="J178" s="1" t="s">
        <v>87</v>
      </c>
      <c r="K178" s="31">
        <v>46238</v>
      </c>
      <c r="L178" s="31">
        <v>46238</v>
      </c>
      <c r="P178" s="1" t="s">
        <v>379</v>
      </c>
      <c r="Q178" s="1" t="s">
        <v>379</v>
      </c>
      <c r="S178" s="1" t="s">
        <v>380</v>
      </c>
      <c r="T178" s="1">
        <v>7592</v>
      </c>
      <c r="U178" s="1" t="s">
        <v>381</v>
      </c>
      <c r="AA178" s="1" t="s">
        <v>5</v>
      </c>
      <c r="AC178" s="1">
        <v>1113</v>
      </c>
      <c r="AD178" s="31">
        <v>46221</v>
      </c>
      <c r="AE178" s="31">
        <v>46161</v>
      </c>
      <c r="AF178" s="1">
        <v>102</v>
      </c>
      <c r="AG178" s="1">
        <v>102</v>
      </c>
      <c r="AH178" s="1" t="s">
        <v>519</v>
      </c>
      <c r="AI178" s="1" t="b">
        <v>0</v>
      </c>
      <c r="AJ178" s="1" t="s">
        <v>745</v>
      </c>
      <c r="AK178" s="1" t="str">
        <f>IF(ISBLANK(SharePointTasks[[#This Row],[Operational ActionId]]), SharePointTasks[[#This Row],[Title]], SharePointTasks[[#This Row],[Title]] &amp; " (" &amp; VLOOKUP(SharePointTasks[[#This Row],[Operational ActionId]], Operational_Actions[], 6, FALSE) &amp; ")")</f>
        <v>Basic Water Rescue (FNQ)</v>
      </c>
      <c r="AM178" s="1" t="str">
        <v>Basic Water Rescue (FNQ)</v>
      </c>
    </row>
    <row r="179" spans="1:39" x14ac:dyDescent="0.2">
      <c r="A179" s="1">
        <v>0</v>
      </c>
      <c r="B179" s="1">
        <v>893</v>
      </c>
      <c r="D179" s="1" t="s">
        <v>348</v>
      </c>
      <c r="E179" s="1" t="s">
        <v>750</v>
      </c>
      <c r="F179" s="1" t="s">
        <v>416</v>
      </c>
      <c r="G179" s="1" t="s">
        <v>378</v>
      </c>
      <c r="J179" s="1" t="s">
        <v>87</v>
      </c>
      <c r="K179" s="31">
        <v>46241</v>
      </c>
      <c r="L179" s="31">
        <v>46242</v>
      </c>
      <c r="P179" s="1" t="s">
        <v>379</v>
      </c>
      <c r="Q179" s="1" t="s">
        <v>379</v>
      </c>
      <c r="T179" s="1">
        <v>5682</v>
      </c>
      <c r="U179" s="1" t="s">
        <v>381</v>
      </c>
      <c r="Y179" s="1" t="b">
        <v>1</v>
      </c>
      <c r="AA179" s="1" t="s">
        <v>94</v>
      </c>
      <c r="AC179" s="1">
        <v>893</v>
      </c>
      <c r="AD179" s="31">
        <v>46225</v>
      </c>
      <c r="AE179" s="31">
        <v>46161</v>
      </c>
      <c r="AF179" s="1">
        <v>102</v>
      </c>
      <c r="AG179" s="1">
        <v>102</v>
      </c>
      <c r="AH179" s="1" t="s">
        <v>414</v>
      </c>
      <c r="AI179" s="1" t="b">
        <v>0</v>
      </c>
      <c r="AJ179" s="1" t="s">
        <v>751</v>
      </c>
      <c r="AK179" s="1" t="str">
        <f>IF(ISBLANK(SharePointTasks[[#This Row],[Operational ActionId]]), SharePointTasks[[#This Row],[Title]], SharePointTasks[[#This Row],[Title]] &amp; " (" &amp; VLOOKUP(SharePointTasks[[#This Row],[Operational ActionId]], Operational_Actions[], 6, FALSE) &amp; ")")</f>
        <v>Operation Nighthawk</v>
      </c>
      <c r="AM179" s="1" t="str">
        <v>Operation Nighthawk</v>
      </c>
    </row>
    <row r="180" spans="1:39" x14ac:dyDescent="0.2">
      <c r="A180" s="1">
        <v>0</v>
      </c>
      <c r="B180" s="1">
        <v>925</v>
      </c>
      <c r="D180" s="1" t="s">
        <v>348</v>
      </c>
      <c r="E180" s="1" t="s">
        <v>746</v>
      </c>
      <c r="F180" s="1" t="s">
        <v>416</v>
      </c>
      <c r="G180" s="1" t="s">
        <v>378</v>
      </c>
      <c r="J180" s="1" t="s">
        <v>87</v>
      </c>
      <c r="K180" s="31">
        <v>46241</v>
      </c>
      <c r="L180" s="31">
        <v>46249</v>
      </c>
      <c r="P180" s="1" t="s">
        <v>379</v>
      </c>
      <c r="Q180" s="1" t="s">
        <v>379</v>
      </c>
      <c r="T180" s="1">
        <v>5715</v>
      </c>
      <c r="U180" s="1" t="s">
        <v>381</v>
      </c>
      <c r="Y180" s="1" t="b">
        <v>1</v>
      </c>
      <c r="AA180" s="1" t="s">
        <v>94</v>
      </c>
      <c r="AC180" s="1">
        <v>925</v>
      </c>
      <c r="AD180" s="31">
        <v>46225</v>
      </c>
      <c r="AE180" s="31">
        <v>46161</v>
      </c>
      <c r="AF180" s="1">
        <v>102</v>
      </c>
      <c r="AG180" s="1">
        <v>102</v>
      </c>
      <c r="AH180" s="1" t="s">
        <v>414</v>
      </c>
      <c r="AI180" s="1" t="b">
        <v>0</v>
      </c>
      <c r="AJ180" s="1" t="s">
        <v>747</v>
      </c>
      <c r="AK180" s="1" t="str">
        <f>IF(ISBLANK(SharePointTasks[[#This Row],[Operational ActionId]]), SharePointTasks[[#This Row],[Title]], SharePointTasks[[#This Row],[Title]] &amp; " (" &amp; VLOOKUP(SharePointTasks[[#This Row],[Operational ActionId]], Operational_Actions[], 6, FALSE) &amp; ")")</f>
        <v>Royal Queensland Show (Ekka)</v>
      </c>
      <c r="AM180" s="1" t="str">
        <v>Royal Queensland Show (Ekka)</v>
      </c>
    </row>
    <row r="181" spans="1:39" x14ac:dyDescent="0.2">
      <c r="A181" s="1">
        <v>0</v>
      </c>
      <c r="B181" s="1">
        <v>1023</v>
      </c>
      <c r="D181" s="1" t="s">
        <v>348</v>
      </c>
      <c r="E181" s="1" t="s">
        <v>646</v>
      </c>
      <c r="F181" s="1" t="s">
        <v>748</v>
      </c>
      <c r="G181" s="1" t="s">
        <v>378</v>
      </c>
      <c r="J181" s="1" t="s">
        <v>87</v>
      </c>
      <c r="K181" s="31">
        <v>46241</v>
      </c>
      <c r="L181" s="31">
        <v>46272</v>
      </c>
      <c r="P181" s="1" t="s">
        <v>379</v>
      </c>
      <c r="Q181" s="1" t="s">
        <v>379</v>
      </c>
      <c r="S181" s="1" t="s">
        <v>380</v>
      </c>
      <c r="T181" s="1">
        <v>7235</v>
      </c>
      <c r="U181" s="1" t="s">
        <v>381</v>
      </c>
      <c r="AA181" s="1" t="s">
        <v>5</v>
      </c>
      <c r="AC181" s="1">
        <v>1023</v>
      </c>
      <c r="AD181" s="31">
        <v>46221</v>
      </c>
      <c r="AE181" s="31">
        <v>46161</v>
      </c>
      <c r="AF181" s="1">
        <v>102</v>
      </c>
      <c r="AG181" s="1">
        <v>102</v>
      </c>
      <c r="AH181" s="1" t="s">
        <v>519</v>
      </c>
      <c r="AI181" s="1" t="b">
        <v>0</v>
      </c>
      <c r="AJ181" s="1" t="s">
        <v>749</v>
      </c>
      <c r="AK181" s="1" t="str">
        <f>IF(ISBLANK(SharePointTasks[[#This Row],[Operational ActionId]]), SharePointTasks[[#This Row],[Title]], SharePointTasks[[#This Row],[Title]] &amp; " (" &amp; VLOOKUP(SharePointTasks[[#This Row],[Operational ActionId]], Operational_Actions[], 6, FALSE) &amp; ")")</f>
        <v>Vertical - Abseiling (Natural Surfaces) SP (FNR)</v>
      </c>
      <c r="AM181" s="1" t="str">
        <v>Vertical - Abseiling (Natural Surfaces) SP (FNR)</v>
      </c>
    </row>
    <row r="182" spans="1:39" x14ac:dyDescent="0.2">
      <c r="A182" s="1">
        <v>0</v>
      </c>
      <c r="B182" s="1">
        <v>1046</v>
      </c>
      <c r="D182" s="1" t="s">
        <v>348</v>
      </c>
      <c r="E182" s="1" t="s">
        <v>646</v>
      </c>
      <c r="F182" s="1" t="s">
        <v>748</v>
      </c>
      <c r="G182" s="1" t="s">
        <v>378</v>
      </c>
      <c r="J182" s="1" t="s">
        <v>87</v>
      </c>
      <c r="K182" s="31">
        <v>46241</v>
      </c>
      <c r="L182" s="31">
        <v>46272</v>
      </c>
      <c r="P182" s="1" t="s">
        <v>379</v>
      </c>
      <c r="Q182" s="1" t="s">
        <v>379</v>
      </c>
      <c r="S182" s="1" t="s">
        <v>380</v>
      </c>
      <c r="T182" s="1">
        <v>7383</v>
      </c>
      <c r="U182" s="1" t="s">
        <v>381</v>
      </c>
      <c r="AA182" s="1" t="s">
        <v>5</v>
      </c>
      <c r="AC182" s="1">
        <v>1046</v>
      </c>
      <c r="AD182" s="31">
        <v>46221</v>
      </c>
      <c r="AE182" s="31">
        <v>46161</v>
      </c>
      <c r="AF182" s="1">
        <v>102</v>
      </c>
      <c r="AG182" s="1">
        <v>102</v>
      </c>
      <c r="AH182" s="1" t="s">
        <v>519</v>
      </c>
      <c r="AI182" s="1" t="b">
        <v>0</v>
      </c>
      <c r="AJ182" s="1" t="s">
        <v>752</v>
      </c>
      <c r="AK182" s="1" t="str">
        <f>IF(ISBLANK(SharePointTasks[[#This Row],[Operational ActionId]]), SharePointTasks[[#This Row],[Title]], SharePointTasks[[#This Row],[Title]] &amp; " (" &amp; VLOOKUP(SharePointTasks[[#This Row],[Operational ActionId]], Operational_Actions[], 6, FALSE) &amp; ")")</f>
        <v>Vertical - Abseiling (Natural Surfaces) SP (FNR)</v>
      </c>
      <c r="AM182" s="1" t="str">
        <v>Vertical - Abseiling (Natural Surfaces) SP (FNR)</v>
      </c>
    </row>
    <row r="183" spans="1:39" x14ac:dyDescent="0.2">
      <c r="A183" s="1">
        <v>0</v>
      </c>
      <c r="B183" s="1">
        <v>1109</v>
      </c>
      <c r="D183" s="1" t="s">
        <v>348</v>
      </c>
      <c r="E183" s="1" t="s">
        <v>646</v>
      </c>
      <c r="F183" s="1" t="s">
        <v>748</v>
      </c>
      <c r="G183" s="1" t="s">
        <v>378</v>
      </c>
      <c r="J183" s="1" t="s">
        <v>87</v>
      </c>
      <c r="K183" s="31">
        <v>46241</v>
      </c>
      <c r="L183" s="31">
        <v>46242</v>
      </c>
      <c r="P183" s="1" t="s">
        <v>379</v>
      </c>
      <c r="Q183" s="1" t="s">
        <v>379</v>
      </c>
      <c r="S183" s="1" t="s">
        <v>380</v>
      </c>
      <c r="T183" s="1">
        <v>7588</v>
      </c>
      <c r="U183" s="1" t="s">
        <v>381</v>
      </c>
      <c r="AA183" s="1" t="s">
        <v>5</v>
      </c>
      <c r="AC183" s="1">
        <v>1109</v>
      </c>
      <c r="AD183" s="31">
        <v>46221</v>
      </c>
      <c r="AE183" s="31">
        <v>46161</v>
      </c>
      <c r="AF183" s="1">
        <v>102</v>
      </c>
      <c r="AG183" s="1">
        <v>102</v>
      </c>
      <c r="AH183" s="1" t="s">
        <v>519</v>
      </c>
      <c r="AI183" s="1" t="b">
        <v>0</v>
      </c>
      <c r="AJ183" s="1" t="s">
        <v>753</v>
      </c>
      <c r="AK183" s="1" t="str">
        <f>IF(ISBLANK(SharePointTasks[[#This Row],[Operational ActionId]]), SharePointTasks[[#This Row],[Title]], SharePointTasks[[#This Row],[Title]] &amp; " (" &amp; VLOOKUP(SharePointTasks[[#This Row],[Operational ActionId]], Operational_Actions[], 6, FALSE) &amp; ")")</f>
        <v>Vertical - Abseiling (Natural Surfaces) SP (FNR)</v>
      </c>
      <c r="AM183" s="1" t="str">
        <v>Vertical - Abseiling (Natural Surfaces) SP (FNR)</v>
      </c>
    </row>
    <row r="184" spans="1:39" x14ac:dyDescent="0.2">
      <c r="A184" s="1">
        <v>0</v>
      </c>
      <c r="B184" s="1">
        <v>1028</v>
      </c>
      <c r="D184" s="1" t="s">
        <v>348</v>
      </c>
      <c r="E184" s="1" t="s">
        <v>560</v>
      </c>
      <c r="F184" s="1" t="s">
        <v>754</v>
      </c>
      <c r="G184" s="1" t="s">
        <v>378</v>
      </c>
      <c r="J184" s="1" t="s">
        <v>87</v>
      </c>
      <c r="K184" s="31">
        <v>46243</v>
      </c>
      <c r="L184" s="31">
        <v>46243</v>
      </c>
      <c r="P184" s="1" t="s">
        <v>379</v>
      </c>
      <c r="Q184" s="1" t="s">
        <v>379</v>
      </c>
      <c r="T184" s="1">
        <v>7246</v>
      </c>
      <c r="U184" s="1" t="s">
        <v>381</v>
      </c>
      <c r="AA184" s="1" t="s">
        <v>5</v>
      </c>
      <c r="AC184" s="1">
        <v>1028</v>
      </c>
      <c r="AD184" s="31">
        <v>46221</v>
      </c>
      <c r="AE184" s="31">
        <v>46161</v>
      </c>
      <c r="AF184" s="1">
        <v>102</v>
      </c>
      <c r="AG184" s="1">
        <v>102</v>
      </c>
      <c r="AH184" s="1" t="s">
        <v>519</v>
      </c>
      <c r="AI184" s="1" t="b">
        <v>0</v>
      </c>
      <c r="AJ184" s="1" t="s">
        <v>755</v>
      </c>
      <c r="AK184" s="1" t="str">
        <f>IF(ISBLANK(SharePointTasks[[#This Row],[Operational ActionId]]), SharePointTasks[[#This Row],[Title]], SharePointTasks[[#This Row],[Title]] &amp; " (" &amp; VLOOKUP(SharePointTasks[[#This Row],[Operational ActionId]], Operational_Actions[], 6, FALSE) &amp; ")")</f>
        <v>Scouting Management - Commissioners and Advisors (Online)</v>
      </c>
      <c r="AM184" s="1" t="str">
        <v>Scouting Management - Commissioners and Advisors (Online)</v>
      </c>
    </row>
    <row r="185" spans="1:39" x14ac:dyDescent="0.2">
      <c r="A185" s="1">
        <v>0</v>
      </c>
      <c r="B185" s="1">
        <v>1051</v>
      </c>
      <c r="D185" s="1" t="s">
        <v>348</v>
      </c>
      <c r="E185" s="1" t="s">
        <v>560</v>
      </c>
      <c r="F185" s="1" t="s">
        <v>754</v>
      </c>
      <c r="G185" s="1" t="s">
        <v>378</v>
      </c>
      <c r="J185" s="1" t="s">
        <v>87</v>
      </c>
      <c r="K185" s="31">
        <v>46243</v>
      </c>
      <c r="L185" s="31">
        <v>46243</v>
      </c>
      <c r="P185" s="1" t="s">
        <v>379</v>
      </c>
      <c r="Q185" s="1" t="s">
        <v>379</v>
      </c>
      <c r="S185" s="1" t="s">
        <v>380</v>
      </c>
      <c r="T185" s="1">
        <v>7391</v>
      </c>
      <c r="U185" s="1" t="s">
        <v>381</v>
      </c>
      <c r="AA185" s="1" t="s">
        <v>5</v>
      </c>
      <c r="AC185" s="1">
        <v>1051</v>
      </c>
      <c r="AD185" s="31">
        <v>46221</v>
      </c>
      <c r="AE185" s="31">
        <v>46161</v>
      </c>
      <c r="AF185" s="1">
        <v>102</v>
      </c>
      <c r="AG185" s="1">
        <v>102</v>
      </c>
      <c r="AH185" s="1" t="s">
        <v>519</v>
      </c>
      <c r="AI185" s="1" t="b">
        <v>0</v>
      </c>
      <c r="AJ185" s="1" t="s">
        <v>756</v>
      </c>
      <c r="AK185" s="1" t="str">
        <f>IF(ISBLANK(SharePointTasks[[#This Row],[Operational ActionId]]), SharePointTasks[[#This Row],[Title]], SharePointTasks[[#This Row],[Title]] &amp; " (" &amp; VLOOKUP(SharePointTasks[[#This Row],[Operational ActionId]], Operational_Actions[], 6, FALSE) &amp; ")")</f>
        <v>Scouting Management - Commissioners and Advisors (Online)</v>
      </c>
      <c r="AM185" s="1" t="str">
        <v>Scouting Management - Commissioners and Advisors (Online)</v>
      </c>
    </row>
    <row r="186" spans="1:39" x14ac:dyDescent="0.2">
      <c r="A186" s="1">
        <v>0</v>
      </c>
      <c r="B186" s="1">
        <v>1035</v>
      </c>
      <c r="D186" s="1" t="s">
        <v>348</v>
      </c>
      <c r="E186" s="1" t="s">
        <v>757</v>
      </c>
      <c r="F186" s="1" t="s">
        <v>758</v>
      </c>
      <c r="G186" s="1" t="s">
        <v>378</v>
      </c>
      <c r="J186" s="1" t="s">
        <v>87</v>
      </c>
      <c r="K186" s="31">
        <v>46244</v>
      </c>
      <c r="L186" s="31">
        <v>46244</v>
      </c>
      <c r="P186" s="1" t="s">
        <v>379</v>
      </c>
      <c r="Q186" s="1" t="s">
        <v>379</v>
      </c>
      <c r="T186" s="1">
        <v>7258</v>
      </c>
      <c r="U186" s="1" t="s">
        <v>381</v>
      </c>
      <c r="AA186" s="1" t="s">
        <v>5</v>
      </c>
      <c r="AC186" s="1">
        <v>1035</v>
      </c>
      <c r="AD186" s="31">
        <v>46221</v>
      </c>
      <c r="AE186" s="31">
        <v>46161</v>
      </c>
      <c r="AF186" s="1">
        <v>102</v>
      </c>
      <c r="AG186" s="1">
        <v>102</v>
      </c>
      <c r="AH186" s="1" t="s">
        <v>519</v>
      </c>
      <c r="AI186" s="1" t="b">
        <v>0</v>
      </c>
      <c r="AJ186" s="1" t="s">
        <v>760</v>
      </c>
      <c r="AK186" s="1" t="str">
        <f>IF(ISBLANK(SharePointTasks[[#This Row],[Operational ActionId]]), SharePointTasks[[#This Row],[Title]], SharePointTasks[[#This Row],[Title]] &amp; " (" &amp; VLOOKUP(SharePointTasks[[#This Row],[Operational ActionId]], Operational_Actions[], 6, FALSE) &amp; ")")</f>
        <v>Basic Water Rescue (Wide Bay)</v>
      </c>
      <c r="AM186" s="1" t="str">
        <v>Basic Water Rescue (Wide Bay)</v>
      </c>
    </row>
    <row r="187" spans="1:39" x14ac:dyDescent="0.2">
      <c r="A187" s="1">
        <v>0</v>
      </c>
      <c r="B187" s="1">
        <v>1058</v>
      </c>
      <c r="D187" s="1" t="s">
        <v>348</v>
      </c>
      <c r="E187" s="1" t="s">
        <v>757</v>
      </c>
      <c r="F187" s="1" t="s">
        <v>758</v>
      </c>
      <c r="G187" s="1" t="s">
        <v>378</v>
      </c>
      <c r="J187" s="1" t="s">
        <v>87</v>
      </c>
      <c r="K187" s="31">
        <v>46244</v>
      </c>
      <c r="L187" s="31">
        <v>46244</v>
      </c>
      <c r="P187" s="1" t="s">
        <v>379</v>
      </c>
      <c r="Q187" s="1" t="s">
        <v>379</v>
      </c>
      <c r="S187" s="1" t="s">
        <v>380</v>
      </c>
      <c r="T187" s="1">
        <v>7401</v>
      </c>
      <c r="U187" s="1" t="s">
        <v>381</v>
      </c>
      <c r="AA187" s="1" t="s">
        <v>5</v>
      </c>
      <c r="AC187" s="1">
        <v>1058</v>
      </c>
      <c r="AD187" s="31">
        <v>46221</v>
      </c>
      <c r="AE187" s="31">
        <v>46161</v>
      </c>
      <c r="AF187" s="1">
        <v>102</v>
      </c>
      <c r="AG187" s="1">
        <v>102</v>
      </c>
      <c r="AH187" s="1" t="s">
        <v>519</v>
      </c>
      <c r="AI187" s="1" t="b">
        <v>0</v>
      </c>
      <c r="AJ187" s="1" t="s">
        <v>759</v>
      </c>
      <c r="AK187" s="1" t="str">
        <f>IF(ISBLANK(SharePointTasks[[#This Row],[Operational ActionId]]), SharePointTasks[[#This Row],[Title]], SharePointTasks[[#This Row],[Title]] &amp; " (" &amp; VLOOKUP(SharePointTasks[[#This Row],[Operational ActionId]], Operational_Actions[], 6, FALSE) &amp; ")")</f>
        <v>Basic Water Rescue (Wide Bay)</v>
      </c>
      <c r="AM187" s="1" t="str">
        <v>Basic Water Rescue (Wide Bay)</v>
      </c>
    </row>
    <row r="188" spans="1:39" x14ac:dyDescent="0.2">
      <c r="A188" s="1">
        <v>0</v>
      </c>
      <c r="B188" s="1">
        <v>926</v>
      </c>
      <c r="D188" s="1" t="s">
        <v>348</v>
      </c>
      <c r="E188" s="1" t="s">
        <v>761</v>
      </c>
      <c r="F188" s="1" t="s">
        <v>416</v>
      </c>
      <c r="G188" s="1" t="s">
        <v>378</v>
      </c>
      <c r="J188" s="1" t="s">
        <v>87</v>
      </c>
      <c r="K188" s="31">
        <v>46245</v>
      </c>
      <c r="L188" s="31">
        <v>46245</v>
      </c>
      <c r="P188" s="1" t="s">
        <v>379</v>
      </c>
      <c r="Q188" s="1" t="s">
        <v>379</v>
      </c>
      <c r="T188" s="1">
        <v>5716</v>
      </c>
      <c r="U188" s="1" t="s">
        <v>381</v>
      </c>
      <c r="Y188" s="1" t="b">
        <v>1</v>
      </c>
      <c r="AA188" s="1" t="s">
        <v>94</v>
      </c>
      <c r="AC188" s="1">
        <v>926</v>
      </c>
      <c r="AD188" s="31">
        <v>46225</v>
      </c>
      <c r="AE188" s="31">
        <v>46161</v>
      </c>
      <c r="AF188" s="1">
        <v>102</v>
      </c>
      <c r="AG188" s="1">
        <v>102</v>
      </c>
      <c r="AH188" s="1" t="s">
        <v>414</v>
      </c>
      <c r="AI188" s="1" t="b">
        <v>0</v>
      </c>
      <c r="AJ188" s="1" t="s">
        <v>762</v>
      </c>
      <c r="AK188" s="1" t="str">
        <f>IF(ISBLANK(SharePointTasks[[#This Row],[Operational ActionId]]), SharePointTasks[[#This Row],[Title]], SharePointTasks[[#This Row],[Title]] &amp; " (" &amp; VLOOKUP(SharePointTasks[[#This Row],[Operational ActionId]], Operational_Actions[], 6, FALSE) &amp; ")")</f>
        <v>Royal Queensland Show (Ekka) Public Holiday</v>
      </c>
      <c r="AM188" s="1" t="str">
        <v>Royal Queensland Show (Ekka) Public Holiday</v>
      </c>
    </row>
    <row r="189" spans="1:39" x14ac:dyDescent="0.2">
      <c r="A189" s="1">
        <v>0</v>
      </c>
      <c r="B189" s="1">
        <v>1167</v>
      </c>
      <c r="D189" s="1" t="s">
        <v>348</v>
      </c>
      <c r="E189" s="1" t="s">
        <v>763</v>
      </c>
      <c r="F189" s="1" t="s">
        <v>764</v>
      </c>
      <c r="G189" s="1" t="s">
        <v>696</v>
      </c>
      <c r="I189" s="1" t="s">
        <v>658</v>
      </c>
      <c r="J189" s="1" t="s">
        <v>697</v>
      </c>
      <c r="K189" s="31">
        <v>46246</v>
      </c>
      <c r="L189" s="31">
        <v>46246</v>
      </c>
      <c r="P189" s="1" t="s">
        <v>379</v>
      </c>
      <c r="Q189" s="1" t="s">
        <v>379</v>
      </c>
      <c r="U189" s="1" t="s">
        <v>381</v>
      </c>
      <c r="X189" s="1">
        <v>12</v>
      </c>
      <c r="Y189" s="1" t="b">
        <v>1</v>
      </c>
      <c r="AA189" s="1" t="s">
        <v>4</v>
      </c>
      <c r="AC189" s="1">
        <v>1167</v>
      </c>
      <c r="AD189" s="31">
        <v>46219</v>
      </c>
      <c r="AE189" s="31">
        <v>46219</v>
      </c>
      <c r="AF189" s="1">
        <v>102</v>
      </c>
      <c r="AG189" s="1">
        <v>102</v>
      </c>
      <c r="AH189" s="1" t="s">
        <v>660</v>
      </c>
      <c r="AI189" s="1" t="b">
        <v>0</v>
      </c>
      <c r="AJ189" s="1" t="s">
        <v>765</v>
      </c>
      <c r="AK189" s="1" t="str">
        <f>IF(ISBLANK(SharePointTasks[[#This Row],[Operational ActionId]]), SharePointTasks[[#This Row],[Title]], SharePointTasks[[#This Row],[Title]] &amp; " (" &amp; VLOOKUP(SharePointTasks[[#This Row],[Operational ActionId]], Operational_Actions[], 6, FALSE) &amp; ")")</f>
        <v>National Youth Program Team approves OAS IStatement wording changes (Achievement Pathways Improvements (2026))</v>
      </c>
      <c r="AM189" s="1" t="str">
        <v>National Youth Program Team approves OAS IStatement wording changes (Achievement Pathways Improvements (2026))</v>
      </c>
    </row>
    <row r="190" spans="1:39" x14ac:dyDescent="0.2">
      <c r="A190" s="1">
        <v>0</v>
      </c>
      <c r="B190" s="1">
        <v>1114</v>
      </c>
      <c r="D190" s="1" t="s">
        <v>348</v>
      </c>
      <c r="E190" s="1" t="s">
        <v>767</v>
      </c>
      <c r="F190" s="1" t="s">
        <v>768</v>
      </c>
      <c r="G190" s="1" t="s">
        <v>378</v>
      </c>
      <c r="J190" s="1" t="s">
        <v>87</v>
      </c>
      <c r="K190" s="31">
        <v>46248</v>
      </c>
      <c r="L190" s="31">
        <v>46249</v>
      </c>
      <c r="P190" s="1" t="s">
        <v>379</v>
      </c>
      <c r="Q190" s="1" t="s">
        <v>379</v>
      </c>
      <c r="S190" s="1" t="s">
        <v>380</v>
      </c>
      <c r="T190" s="1">
        <v>7593</v>
      </c>
      <c r="U190" s="1" t="s">
        <v>381</v>
      </c>
      <c r="AA190" s="1" t="s">
        <v>5</v>
      </c>
      <c r="AC190" s="1">
        <v>1114</v>
      </c>
      <c r="AD190" s="31">
        <v>46221</v>
      </c>
      <c r="AE190" s="31">
        <v>46161</v>
      </c>
      <c r="AF190" s="1">
        <v>102</v>
      </c>
      <c r="AG190" s="1">
        <v>102</v>
      </c>
      <c r="AH190" s="1" t="s">
        <v>519</v>
      </c>
      <c r="AI190" s="1" t="b">
        <v>0</v>
      </c>
      <c r="AJ190" s="1" t="s">
        <v>769</v>
      </c>
      <c r="AK190" s="1" t="str">
        <f>IF(ISBLANK(SharePointTasks[[#This Row],[Operational ActionId]]), SharePointTasks[[#This Row],[Title]], SharePointTasks[[#This Row],[Title]] &amp; " (" &amp; VLOOKUP(SharePointTasks[[#This Row],[Operational ActionId]], Operational_Actions[], 6, FALSE) &amp; ")")</f>
        <v>Archery - SP/TP/G (Wide Bay)</v>
      </c>
      <c r="AM190" s="1" t="str">
        <v>Archery - SP/TP/G (Wide Bay)</v>
      </c>
    </row>
    <row r="191" spans="1:39" x14ac:dyDescent="0.2">
      <c r="A191" s="1">
        <v>0</v>
      </c>
      <c r="B191" s="1">
        <v>998</v>
      </c>
      <c r="D191" s="1" t="s">
        <v>348</v>
      </c>
      <c r="E191" s="1" t="s">
        <v>405</v>
      </c>
      <c r="F191" s="1" t="s">
        <v>406</v>
      </c>
      <c r="G191" s="1" t="s">
        <v>378</v>
      </c>
      <c r="J191" s="1" t="s">
        <v>87</v>
      </c>
      <c r="K191" s="31">
        <v>46249</v>
      </c>
      <c r="L191" s="31">
        <v>46249</v>
      </c>
      <c r="P191" s="1" t="s">
        <v>379</v>
      </c>
      <c r="Q191" s="1" t="s">
        <v>379</v>
      </c>
      <c r="T191" s="1">
        <v>5788</v>
      </c>
      <c r="U191" s="1" t="s">
        <v>381</v>
      </c>
      <c r="Y191" s="1" t="b">
        <v>1</v>
      </c>
      <c r="AA191" s="1" t="s">
        <v>94</v>
      </c>
      <c r="AC191" s="1">
        <v>998</v>
      </c>
      <c r="AD191" s="31">
        <v>46225</v>
      </c>
      <c r="AE191" s="31">
        <v>46161</v>
      </c>
      <c r="AF191" s="1">
        <v>102</v>
      </c>
      <c r="AG191" s="1">
        <v>102</v>
      </c>
      <c r="AH191" s="1" t="s">
        <v>414</v>
      </c>
      <c r="AI191" s="1" t="b">
        <v>0</v>
      </c>
      <c r="AJ191" s="1" t="s">
        <v>770</v>
      </c>
      <c r="AK191" s="1" t="str">
        <f>IF(ISBLANK(SharePointTasks[[#This Row],[Operational ActionId]]), SharePointTasks[[#This Row],[Title]], SharePointTasks[[#This Row],[Title]] &amp; " (" &amp; VLOOKUP(SharePointTasks[[#This Row],[Operational ActionId]], Operational_Actions[], 6, FALSE) &amp; ")")</f>
        <v>Queensland Branch Rover Council Meeting</v>
      </c>
      <c r="AM191" s="1" t="str">
        <v>Queensland Branch Rover Council Meeting</v>
      </c>
    </row>
    <row r="192" spans="1:39" x14ac:dyDescent="0.2">
      <c r="A192" s="1">
        <v>0</v>
      </c>
      <c r="B192" s="1">
        <v>957</v>
      </c>
      <c r="D192" s="1" t="s">
        <v>348</v>
      </c>
      <c r="E192" s="1" t="s">
        <v>409</v>
      </c>
      <c r="F192" s="1" t="s">
        <v>410</v>
      </c>
      <c r="G192" s="1" t="s">
        <v>378</v>
      </c>
      <c r="J192" s="1" t="s">
        <v>87</v>
      </c>
      <c r="K192" s="31">
        <v>46250</v>
      </c>
      <c r="L192" s="31">
        <v>46250</v>
      </c>
      <c r="P192" s="1" t="s">
        <v>379</v>
      </c>
      <c r="Q192" s="1" t="s">
        <v>379</v>
      </c>
      <c r="T192" s="1">
        <v>5747</v>
      </c>
      <c r="U192" s="1" t="s">
        <v>381</v>
      </c>
      <c r="AA192" s="1" t="s">
        <v>5</v>
      </c>
      <c r="AC192" s="1">
        <v>957</v>
      </c>
      <c r="AD192" s="31">
        <v>46221</v>
      </c>
      <c r="AE192" s="31">
        <v>46161</v>
      </c>
      <c r="AF192" s="1">
        <v>102</v>
      </c>
      <c r="AG192" s="1">
        <v>102</v>
      </c>
      <c r="AH192" s="1" t="s">
        <v>519</v>
      </c>
      <c r="AI192" s="1" t="b">
        <v>0</v>
      </c>
      <c r="AJ192" s="1" t="s">
        <v>772</v>
      </c>
      <c r="AK192" s="1" t="str">
        <f>IF(ISBLANK(SharePointTasks[[#This Row],[Operational ActionId]]), SharePointTasks[[#This Row],[Title]], SharePointTasks[[#This Row],[Title]] &amp; " (" &amp; VLOOKUP(SharePointTasks[[#This Row],[Operational ActionId]], Operational_Actions[], 6, FALSE) &amp; ")")</f>
        <v>Branch Finance Committee</v>
      </c>
      <c r="AM192" s="1" t="str">
        <v>Branch Finance Committee</v>
      </c>
    </row>
    <row r="193" spans="1:39" x14ac:dyDescent="0.2">
      <c r="A193" s="1">
        <v>0</v>
      </c>
      <c r="B193" s="1">
        <v>977</v>
      </c>
      <c r="D193" s="1" t="s">
        <v>348</v>
      </c>
      <c r="E193" s="1" t="s">
        <v>440</v>
      </c>
      <c r="F193" s="1" t="s">
        <v>406</v>
      </c>
      <c r="G193" s="1" t="s">
        <v>378</v>
      </c>
      <c r="J193" s="1" t="s">
        <v>87</v>
      </c>
      <c r="K193" s="31">
        <v>46250</v>
      </c>
      <c r="L193" s="31">
        <v>46250</v>
      </c>
      <c r="P193" s="1" t="s">
        <v>379</v>
      </c>
      <c r="Q193" s="1" t="s">
        <v>379</v>
      </c>
      <c r="T193" s="1">
        <v>5767</v>
      </c>
      <c r="U193" s="1" t="s">
        <v>381</v>
      </c>
      <c r="Y193" s="1" t="b">
        <v>1</v>
      </c>
      <c r="Z193" s="1" t="s">
        <v>413</v>
      </c>
      <c r="AA193" s="1" t="s">
        <v>94</v>
      </c>
      <c r="AC193" s="1">
        <v>977</v>
      </c>
      <c r="AD193" s="31">
        <v>46225</v>
      </c>
      <c r="AE193" s="31">
        <v>46161</v>
      </c>
      <c r="AF193" s="1">
        <v>102</v>
      </c>
      <c r="AG193" s="1">
        <v>102</v>
      </c>
      <c r="AH193" s="1" t="s">
        <v>676</v>
      </c>
      <c r="AI193" s="1" t="b">
        <v>0</v>
      </c>
      <c r="AJ193" s="1" t="s">
        <v>771</v>
      </c>
      <c r="AK193" s="1" t="str">
        <f>IF(ISBLANK(SharePointTasks[[#This Row],[Operational ActionId]]), SharePointTasks[[#This Row],[Title]], SharePointTasks[[#This Row],[Title]] &amp; " (" &amp; VLOOKUP(SharePointTasks[[#This Row],[Operational ActionId]], Operational_Actions[], 6, FALSE) &amp; ")")</f>
        <v>Branch Scout Section Council</v>
      </c>
      <c r="AM193" s="1" t="str">
        <v>Branch Scout Section Council</v>
      </c>
    </row>
    <row r="194" spans="1:39" x14ac:dyDescent="0.2">
      <c r="A194" s="1">
        <v>0</v>
      </c>
      <c r="B194" s="1">
        <v>967</v>
      </c>
      <c r="D194" s="1" t="s">
        <v>348</v>
      </c>
      <c r="E194" s="1" t="s">
        <v>412</v>
      </c>
      <c r="F194" s="1" t="s">
        <v>406</v>
      </c>
      <c r="G194" s="1" t="s">
        <v>378</v>
      </c>
      <c r="J194" s="1" t="s">
        <v>87</v>
      </c>
      <c r="K194" s="31">
        <v>46252</v>
      </c>
      <c r="L194" s="31">
        <v>46252</v>
      </c>
      <c r="P194" s="1" t="s">
        <v>379</v>
      </c>
      <c r="Q194" s="1" t="s">
        <v>379</v>
      </c>
      <c r="S194" s="1" t="s">
        <v>129</v>
      </c>
      <c r="T194" s="1">
        <v>5757</v>
      </c>
      <c r="U194" s="1" t="s">
        <v>381</v>
      </c>
      <c r="Y194" s="1" t="b">
        <v>1</v>
      </c>
      <c r="Z194" s="1" t="s">
        <v>413</v>
      </c>
      <c r="AA194" s="1" t="s">
        <v>94</v>
      </c>
      <c r="AC194" s="1">
        <v>967</v>
      </c>
      <c r="AD194" s="31">
        <v>46225</v>
      </c>
      <c r="AE194" s="31">
        <v>46161</v>
      </c>
      <c r="AF194" s="1">
        <v>102</v>
      </c>
      <c r="AG194" s="1">
        <v>102</v>
      </c>
      <c r="AH194" s="1" t="s">
        <v>676</v>
      </c>
      <c r="AI194" s="1" t="b">
        <v>0</v>
      </c>
      <c r="AJ194" s="1" t="s">
        <v>773</v>
      </c>
      <c r="AK194" s="1" t="str">
        <f>IF(ISBLANK(SharePointTasks[[#This Row],[Operational ActionId]]), SharePointTasks[[#This Row],[Title]], SharePointTasks[[#This Row],[Title]] &amp; " (" &amp; VLOOKUP(SharePointTasks[[#This Row],[Operational ActionId]], Operational_Actions[], 6, FALSE) &amp; ")")</f>
        <v>Branch Joey Scout Council</v>
      </c>
      <c r="AM194" s="1" t="str">
        <v>Branch Joey Scout Council</v>
      </c>
    </row>
    <row r="195" spans="1:39" x14ac:dyDescent="0.2">
      <c r="A195" s="1">
        <v>0</v>
      </c>
      <c r="B195" s="1">
        <v>986</v>
      </c>
      <c r="D195" s="1" t="s">
        <v>348</v>
      </c>
      <c r="E195" s="1" t="s">
        <v>442</v>
      </c>
      <c r="F195" s="1" t="s">
        <v>406</v>
      </c>
      <c r="G195" s="1" t="s">
        <v>378</v>
      </c>
      <c r="J195" s="1" t="s">
        <v>87</v>
      </c>
      <c r="K195" s="31">
        <v>46252</v>
      </c>
      <c r="L195" s="31">
        <v>46252</v>
      </c>
      <c r="P195" s="1" t="s">
        <v>379</v>
      </c>
      <c r="Q195" s="1" t="s">
        <v>379</v>
      </c>
      <c r="T195" s="1">
        <v>5776</v>
      </c>
      <c r="U195" s="1" t="s">
        <v>381</v>
      </c>
      <c r="Y195" s="1" t="b">
        <v>1</v>
      </c>
      <c r="AA195" s="1" t="s">
        <v>94</v>
      </c>
      <c r="AC195" s="1">
        <v>986</v>
      </c>
      <c r="AD195" s="31">
        <v>46225</v>
      </c>
      <c r="AE195" s="31">
        <v>46161</v>
      </c>
      <c r="AF195" s="1">
        <v>102</v>
      </c>
      <c r="AG195" s="1">
        <v>102</v>
      </c>
      <c r="AH195" s="1" t="s">
        <v>414</v>
      </c>
      <c r="AI195" s="1" t="b">
        <v>0</v>
      </c>
      <c r="AJ195" s="1" t="s">
        <v>774</v>
      </c>
      <c r="AK195" s="1" t="str">
        <f>IF(ISBLANK(SharePointTasks[[#This Row],[Operational ActionId]]), SharePointTasks[[#This Row],[Title]], SharePointTasks[[#This Row],[Title]] &amp; " (" &amp; VLOOKUP(SharePointTasks[[#This Row],[Operational ActionId]], Operational_Actions[], 6, FALSE) &amp; ")")</f>
        <v>Branch Youth Venturer Scout Council</v>
      </c>
      <c r="AM195" s="1" t="str">
        <v>Branch Youth Venturer Scout Council</v>
      </c>
    </row>
    <row r="196" spans="1:39" x14ac:dyDescent="0.2">
      <c r="A196" s="1">
        <v>0</v>
      </c>
      <c r="B196" s="1">
        <v>934</v>
      </c>
      <c r="D196" s="1" t="s">
        <v>348</v>
      </c>
      <c r="E196" s="1" t="s">
        <v>445</v>
      </c>
      <c r="F196" s="1" t="s">
        <v>406</v>
      </c>
      <c r="G196" s="1" t="s">
        <v>378</v>
      </c>
      <c r="J196" s="1" t="s">
        <v>87</v>
      </c>
      <c r="K196" s="31">
        <v>46253</v>
      </c>
      <c r="L196" s="31">
        <v>46253</v>
      </c>
      <c r="P196" s="1" t="s">
        <v>379</v>
      </c>
      <c r="Q196" s="1" t="s">
        <v>379</v>
      </c>
      <c r="S196" s="1" t="s">
        <v>132</v>
      </c>
      <c r="T196" s="1">
        <v>5724</v>
      </c>
      <c r="U196" s="1" t="s">
        <v>381</v>
      </c>
      <c r="Y196" s="1" t="b">
        <v>1</v>
      </c>
      <c r="AA196" s="1" t="s">
        <v>94</v>
      </c>
      <c r="AC196" s="1">
        <v>934</v>
      </c>
      <c r="AD196" s="31">
        <v>46225</v>
      </c>
      <c r="AE196" s="31">
        <v>46161</v>
      </c>
      <c r="AF196" s="1">
        <v>102</v>
      </c>
      <c r="AG196" s="1">
        <v>102</v>
      </c>
      <c r="AH196" s="1" t="s">
        <v>414</v>
      </c>
      <c r="AI196" s="1" t="b">
        <v>0</v>
      </c>
      <c r="AJ196" s="1" t="s">
        <v>781</v>
      </c>
      <c r="AK196" s="1" t="str">
        <f>IF(ISBLANK(SharePointTasks[[#This Row],[Operational ActionId]]), SharePointTasks[[#This Row],[Title]], SharePointTasks[[#This Row],[Title]] &amp; " (" &amp; VLOOKUP(SharePointTasks[[#This Row],[Operational ActionId]], Operational_Actions[], 6, FALSE) &amp; ")")</f>
        <v>Branch Cub Scout Section Team Meeting</v>
      </c>
      <c r="AM196" s="1" t="str">
        <v>Branch Cub Scout Section Team Meeting</v>
      </c>
    </row>
    <row r="197" spans="1:39" x14ac:dyDescent="0.2">
      <c r="A197" s="1">
        <v>0</v>
      </c>
      <c r="B197" s="1">
        <v>1117</v>
      </c>
      <c r="D197" s="1" t="s">
        <v>348</v>
      </c>
      <c r="E197" s="1" t="s">
        <v>465</v>
      </c>
      <c r="F197" s="1" t="s">
        <v>778</v>
      </c>
      <c r="G197" s="1" t="s">
        <v>378</v>
      </c>
      <c r="J197" s="1" t="s">
        <v>87</v>
      </c>
      <c r="K197" s="31">
        <v>46253</v>
      </c>
      <c r="L197" s="31">
        <v>46253</v>
      </c>
      <c r="P197" s="1" t="s">
        <v>379</v>
      </c>
      <c r="Q197" s="1" t="s">
        <v>379</v>
      </c>
      <c r="S197" s="1" t="s">
        <v>380</v>
      </c>
      <c r="T197" s="1">
        <v>7596</v>
      </c>
      <c r="U197" s="1" t="s">
        <v>381</v>
      </c>
      <c r="AA197" s="1" t="s">
        <v>5</v>
      </c>
      <c r="AC197" s="1">
        <v>1117</v>
      </c>
      <c r="AD197" s="31">
        <v>46221</v>
      </c>
      <c r="AE197" s="31">
        <v>46161</v>
      </c>
      <c r="AF197" s="1">
        <v>102</v>
      </c>
      <c r="AG197" s="1">
        <v>102</v>
      </c>
      <c r="AH197" s="1" t="s">
        <v>519</v>
      </c>
      <c r="AI197" s="1" t="b">
        <v>0</v>
      </c>
      <c r="AJ197" s="1" t="s">
        <v>780</v>
      </c>
      <c r="AK197" s="1" t="str">
        <f>IF(ISBLANK(SharePointTasks[[#This Row],[Operational ActionId]]), SharePointTasks[[#This Row],[Title]], SharePointTasks[[#This Row],[Title]] &amp; " (" &amp; VLOOKUP(SharePointTasks[[#This Row],[Operational ActionId]], Operational_Actions[], 6, FALSE) &amp; ")")</f>
        <v>Scouting Essentials (Online)</v>
      </c>
      <c r="AM197" s="1" t="str">
        <v>Scouting Essentials (Online)</v>
      </c>
    </row>
    <row r="198" spans="1:39" x14ac:dyDescent="0.2">
      <c r="A198" s="1">
        <v>0</v>
      </c>
      <c r="B198" s="1">
        <v>1144</v>
      </c>
      <c r="D198" s="1" t="s">
        <v>348</v>
      </c>
      <c r="E198" s="1" t="s">
        <v>465</v>
      </c>
      <c r="F198" s="1" t="s">
        <v>778</v>
      </c>
      <c r="G198" s="1" t="s">
        <v>378</v>
      </c>
      <c r="J198" s="1" t="s">
        <v>87</v>
      </c>
      <c r="K198" s="31">
        <v>46253</v>
      </c>
      <c r="L198" s="31">
        <v>46253</v>
      </c>
      <c r="P198" s="1" t="s">
        <v>379</v>
      </c>
      <c r="Q198" s="1" t="s">
        <v>379</v>
      </c>
      <c r="T198" s="1">
        <v>7722</v>
      </c>
      <c r="U198" s="1" t="s">
        <v>381</v>
      </c>
      <c r="AA198" s="1" t="s">
        <v>5</v>
      </c>
      <c r="AC198" s="1">
        <v>1144</v>
      </c>
      <c r="AD198" s="31">
        <v>46221</v>
      </c>
      <c r="AE198" s="31">
        <v>46161</v>
      </c>
      <c r="AF198" s="1">
        <v>102</v>
      </c>
      <c r="AG198" s="1">
        <v>102</v>
      </c>
      <c r="AH198" s="1" t="s">
        <v>519</v>
      </c>
      <c r="AI198" s="1" t="b">
        <v>0</v>
      </c>
      <c r="AJ198" s="1" t="s">
        <v>779</v>
      </c>
      <c r="AK198" s="1" t="str">
        <f>IF(ISBLANK(SharePointTasks[[#This Row],[Operational ActionId]]), SharePointTasks[[#This Row],[Title]], SharePointTasks[[#This Row],[Title]] &amp; " (" &amp; VLOOKUP(SharePointTasks[[#This Row],[Operational ActionId]], Operational_Actions[], 6, FALSE) &amp; ")")</f>
        <v>Scouting Essentials (Online)</v>
      </c>
      <c r="AM198" s="1" t="str">
        <v>Scouting Essentials (Online)</v>
      </c>
    </row>
    <row r="199" spans="1:39" x14ac:dyDescent="0.2">
      <c r="A199" s="1">
        <v>0</v>
      </c>
      <c r="B199" s="1">
        <v>1168</v>
      </c>
      <c r="D199" s="1" t="s">
        <v>348</v>
      </c>
      <c r="E199" s="1" t="s">
        <v>775</v>
      </c>
      <c r="G199" s="1" t="s">
        <v>696</v>
      </c>
      <c r="I199" s="1" t="s">
        <v>658</v>
      </c>
      <c r="J199" s="1" t="s">
        <v>697</v>
      </c>
      <c r="K199" s="31">
        <v>46253</v>
      </c>
      <c r="L199" s="31">
        <v>46253</v>
      </c>
      <c r="P199" s="1" t="s">
        <v>379</v>
      </c>
      <c r="Q199" s="1" t="s">
        <v>379</v>
      </c>
      <c r="U199" s="1" t="s">
        <v>381</v>
      </c>
      <c r="X199" s="1">
        <v>12</v>
      </c>
      <c r="Y199" s="1" t="b">
        <v>1</v>
      </c>
      <c r="AA199" s="1" t="s">
        <v>4</v>
      </c>
      <c r="AC199" s="1">
        <v>1168</v>
      </c>
      <c r="AD199" s="31">
        <v>46220</v>
      </c>
      <c r="AE199" s="31">
        <v>46219</v>
      </c>
      <c r="AF199" s="1">
        <v>102</v>
      </c>
      <c r="AG199" s="1">
        <v>102</v>
      </c>
      <c r="AH199" s="1" t="s">
        <v>519</v>
      </c>
      <c r="AI199" s="1" t="b">
        <v>0</v>
      </c>
      <c r="AJ199" s="1" t="s">
        <v>776</v>
      </c>
      <c r="AK199" s="1" t="str">
        <f>IF(ISBLANK(SharePointTasks[[#This Row],[Operational ActionId]]), SharePointTasks[[#This Row],[Title]], SharePointTasks[[#This Row],[Title]] &amp; " (" &amp; VLOOKUP(SharePointTasks[[#This Row],[Operational ActionId]], Operational_Actions[], 6, FALSE) &amp; ")")</f>
        <v>Presentation to National Rover Council on improvements and program support (Achievement Pathways Improvements (2026))</v>
      </c>
      <c r="AM199" s="1" t="str">
        <v>Presentation to National Rover Council on improvements and program support (Achievement Pathways Improvements (2026))</v>
      </c>
    </row>
    <row r="200" spans="1:39" x14ac:dyDescent="0.2">
      <c r="A200" s="1">
        <v>0</v>
      </c>
      <c r="B200" s="1">
        <v>904</v>
      </c>
      <c r="D200" s="1" t="s">
        <v>348</v>
      </c>
      <c r="E200" s="1" t="s">
        <v>101</v>
      </c>
      <c r="F200" s="1" t="s">
        <v>416</v>
      </c>
      <c r="G200" s="1" t="s">
        <v>378</v>
      </c>
      <c r="J200" s="1" t="s">
        <v>87</v>
      </c>
      <c r="K200" s="31">
        <v>46254</v>
      </c>
      <c r="L200" s="31">
        <v>46256</v>
      </c>
      <c r="P200" s="1" t="s">
        <v>379</v>
      </c>
      <c r="Q200" s="1" t="s">
        <v>379</v>
      </c>
      <c r="S200" s="1" t="s">
        <v>132</v>
      </c>
      <c r="T200" s="1">
        <v>5693</v>
      </c>
      <c r="U200" s="1" t="s">
        <v>381</v>
      </c>
      <c r="Y200" s="1" t="b">
        <v>1</v>
      </c>
      <c r="AA200" s="1" t="s">
        <v>94</v>
      </c>
      <c r="AC200" s="1">
        <v>904</v>
      </c>
      <c r="AD200" s="31">
        <v>46225</v>
      </c>
      <c r="AE200" s="31">
        <v>46161</v>
      </c>
      <c r="AF200" s="1">
        <v>102</v>
      </c>
      <c r="AG200" s="1">
        <v>102</v>
      </c>
      <c r="AH200" s="1" t="s">
        <v>414</v>
      </c>
      <c r="AI200" s="1" t="b">
        <v>0</v>
      </c>
      <c r="AJ200" s="1" t="s">
        <v>782</v>
      </c>
      <c r="AK200" s="1" t="str">
        <f>IF(ISBLANK(SharePointTasks[[#This Row],[Operational ActionId]]), SharePointTasks[[#This Row],[Title]], SharePointTasks[[#This Row],[Title]] &amp; " (" &amp; VLOOKUP(SharePointTasks[[#This Row],[Operational ActionId]], Operational_Actions[], 6, FALSE) &amp; ")")</f>
        <v>Cub Scout Leader Expo</v>
      </c>
      <c r="AM200" s="1" t="str">
        <v>Cub Scout Leader Expo</v>
      </c>
    </row>
    <row r="201" spans="1:39" x14ac:dyDescent="0.2">
      <c r="A201" s="1">
        <v>0</v>
      </c>
      <c r="B201" s="1">
        <v>1115</v>
      </c>
      <c r="D201" s="1" t="s">
        <v>348</v>
      </c>
      <c r="E201" s="1" t="s">
        <v>783</v>
      </c>
      <c r="F201" s="1" t="s">
        <v>784</v>
      </c>
      <c r="G201" s="1" t="s">
        <v>378</v>
      </c>
      <c r="J201" s="1" t="s">
        <v>87</v>
      </c>
      <c r="K201" s="31">
        <v>46254</v>
      </c>
      <c r="L201" s="31">
        <v>46256</v>
      </c>
      <c r="P201" s="1" t="s">
        <v>379</v>
      </c>
      <c r="Q201" s="1" t="s">
        <v>379</v>
      </c>
      <c r="S201" s="1" t="s">
        <v>380</v>
      </c>
      <c r="T201" s="1">
        <v>7594</v>
      </c>
      <c r="U201" s="1" t="s">
        <v>381</v>
      </c>
      <c r="AA201" s="1" t="s">
        <v>5</v>
      </c>
      <c r="AC201" s="1">
        <v>1115</v>
      </c>
      <c r="AD201" s="31">
        <v>46221</v>
      </c>
      <c r="AE201" s="31">
        <v>46161</v>
      </c>
      <c r="AF201" s="1">
        <v>102</v>
      </c>
      <c r="AG201" s="1">
        <v>102</v>
      </c>
      <c r="AH201" s="1" t="s">
        <v>519</v>
      </c>
      <c r="AI201" s="1" t="b">
        <v>0</v>
      </c>
      <c r="AJ201" s="1" t="s">
        <v>785</v>
      </c>
      <c r="AK201" s="1" t="str">
        <f>IF(ISBLANK(SharePointTasks[[#This Row],[Operational ActionId]]), SharePointTasks[[#This Row],[Title]], SharePointTasks[[#This Row],[Title]] &amp; " (" &amp; VLOOKUP(SharePointTasks[[#This Row],[Operational ActionId]], Operational_Actions[], 6, FALSE) &amp; ")")</f>
        <v>Scouting Adventure (Toowoomba)</v>
      </c>
      <c r="AM201" s="1" t="str">
        <v>Scouting Adventure (Toowoomba)</v>
      </c>
    </row>
    <row r="202" spans="1:39" x14ac:dyDescent="0.2">
      <c r="A202" s="1">
        <v>0</v>
      </c>
      <c r="B202" s="1">
        <v>1116</v>
      </c>
      <c r="D202" s="1" t="s">
        <v>348</v>
      </c>
      <c r="E202" s="1" t="s">
        <v>786</v>
      </c>
      <c r="F202" s="1" t="s">
        <v>787</v>
      </c>
      <c r="G202" s="1" t="s">
        <v>378</v>
      </c>
      <c r="J202" s="1" t="s">
        <v>87</v>
      </c>
      <c r="K202" s="31">
        <v>46254</v>
      </c>
      <c r="L202" s="31">
        <v>46256</v>
      </c>
      <c r="P202" s="1" t="s">
        <v>379</v>
      </c>
      <c r="Q202" s="1" t="s">
        <v>379</v>
      </c>
      <c r="S202" s="1" t="s">
        <v>380</v>
      </c>
      <c r="T202" s="1">
        <v>7595</v>
      </c>
      <c r="U202" s="1" t="s">
        <v>381</v>
      </c>
      <c r="AA202" s="1" t="s">
        <v>5</v>
      </c>
      <c r="AC202" s="1">
        <v>1116</v>
      </c>
      <c r="AD202" s="31">
        <v>46221</v>
      </c>
      <c r="AE202" s="31">
        <v>46161</v>
      </c>
      <c r="AF202" s="1">
        <v>102</v>
      </c>
      <c r="AG202" s="1">
        <v>102</v>
      </c>
      <c r="AH202" s="1" t="s">
        <v>519</v>
      </c>
      <c r="AI202" s="1" t="b">
        <v>0</v>
      </c>
      <c r="AJ202" s="1" t="s">
        <v>788</v>
      </c>
      <c r="AK202" s="1" t="str">
        <f>IF(ISBLANK(SharePointTasks[[#This Row],[Operational ActionId]]), SharePointTasks[[#This Row],[Title]], SharePointTasks[[#This Row],[Title]] &amp; " (" &amp; VLOOKUP(SharePointTasks[[#This Row],[Operational ActionId]], Operational_Actions[], 6, FALSE) &amp; ")")</f>
        <v>Vertical - Abseiling Natural Surfaces -TP (FNR)</v>
      </c>
      <c r="AM202" s="1" t="str">
        <v>Vertical - Abseiling Natural Surfaces -TP (FNR)</v>
      </c>
    </row>
    <row r="203" spans="1:39" x14ac:dyDescent="0.2">
      <c r="A203" s="1">
        <v>0</v>
      </c>
      <c r="B203" s="1">
        <v>945</v>
      </c>
      <c r="D203" s="1" t="s">
        <v>348</v>
      </c>
      <c r="E203" s="1" t="s">
        <v>418</v>
      </c>
      <c r="F203" s="1" t="s">
        <v>419</v>
      </c>
      <c r="G203" s="1" t="s">
        <v>378</v>
      </c>
      <c r="J203" s="1" t="s">
        <v>87</v>
      </c>
      <c r="K203" s="31">
        <v>46258</v>
      </c>
      <c r="L203" s="31">
        <v>46258</v>
      </c>
      <c r="P203" s="1" t="s">
        <v>379</v>
      </c>
      <c r="Q203" s="1" t="s">
        <v>379</v>
      </c>
      <c r="T203" s="1">
        <v>5735</v>
      </c>
      <c r="U203" s="1" t="s">
        <v>381</v>
      </c>
      <c r="AA203" s="1" t="s">
        <v>5</v>
      </c>
      <c r="AC203" s="1">
        <v>945</v>
      </c>
      <c r="AD203" s="31">
        <v>46221</v>
      </c>
      <c r="AE203" s="31">
        <v>46161</v>
      </c>
      <c r="AF203" s="1">
        <v>102</v>
      </c>
      <c r="AG203" s="1">
        <v>102</v>
      </c>
      <c r="AH203" s="1" t="s">
        <v>519</v>
      </c>
      <c r="AI203" s="1" t="b">
        <v>0</v>
      </c>
      <c r="AJ203" s="1" t="s">
        <v>789</v>
      </c>
      <c r="AK203" s="1" t="str">
        <f>IF(ISBLANK(SharePointTasks[[#This Row],[Operational ActionId]]), SharePointTasks[[#This Row],[Title]], SharePointTasks[[#This Row],[Title]] &amp; " (" &amp; VLOOKUP(SharePointTasks[[#This Row],[Operational ActionId]], Operational_Actions[], 6, FALSE) &amp; ")")</f>
        <v>Branch Executive Committee</v>
      </c>
      <c r="AM203" s="1" t="str">
        <v>Branch Executive Committee</v>
      </c>
    </row>
    <row r="204" spans="1:39" x14ac:dyDescent="0.2">
      <c r="A204" s="1">
        <v>0</v>
      </c>
      <c r="B204" s="1">
        <v>1169</v>
      </c>
      <c r="D204" s="1" t="s">
        <v>348</v>
      </c>
      <c r="E204" s="1" t="s">
        <v>790</v>
      </c>
      <c r="F204" s="1" t="s">
        <v>791</v>
      </c>
      <c r="G204" s="1" t="s">
        <v>696</v>
      </c>
      <c r="I204" s="1" t="s">
        <v>658</v>
      </c>
      <c r="J204" s="1" t="s">
        <v>697</v>
      </c>
      <c r="K204" s="31">
        <v>46261</v>
      </c>
      <c r="L204" s="31">
        <v>46263</v>
      </c>
      <c r="P204" s="1" t="s">
        <v>379</v>
      </c>
      <c r="Q204" s="1" t="s">
        <v>379</v>
      </c>
      <c r="U204" s="1" t="s">
        <v>381</v>
      </c>
      <c r="X204" s="1">
        <v>12</v>
      </c>
      <c r="Y204" s="1" t="b">
        <v>1</v>
      </c>
      <c r="AA204" s="1" t="s">
        <v>4</v>
      </c>
      <c r="AC204" s="1">
        <v>1169</v>
      </c>
      <c r="AD204" s="31">
        <v>46219</v>
      </c>
      <c r="AE204" s="31">
        <v>46219</v>
      </c>
      <c r="AF204" s="1">
        <v>102</v>
      </c>
      <c r="AG204" s="1">
        <v>102</v>
      </c>
      <c r="AH204" s="1" t="s">
        <v>660</v>
      </c>
      <c r="AI204" s="1" t="b">
        <v>0</v>
      </c>
      <c r="AJ204" s="1" t="s">
        <v>792</v>
      </c>
      <c r="AK204" s="1" t="str">
        <f>IF(ISBLANK(SharePointTasks[[#This Row],[Operational ActionId]]), SharePointTasks[[#This Row],[Title]], SharePointTasks[[#This Row],[Title]] &amp; " (" &amp; VLOOKUP(SharePointTasks[[#This Row],[Operational ActionId]], Operational_Actions[], 6, FALSE) &amp; ")")</f>
        <v>National Youth Program Team face-to-face meeting (Achievement Pathways Improvements (2026))</v>
      </c>
      <c r="AM204" s="1" t="str">
        <v>National Youth Program Team face-to-face meeting (Achievement Pathways Improvements (2026))</v>
      </c>
    </row>
    <row r="205" spans="1:39" x14ac:dyDescent="0.2">
      <c r="A205" s="1">
        <v>0</v>
      </c>
      <c r="B205" s="1">
        <v>875</v>
      </c>
      <c r="D205" s="1" t="s">
        <v>348</v>
      </c>
      <c r="E205" s="1" t="s">
        <v>794</v>
      </c>
      <c r="F205" s="1" t="s">
        <v>795</v>
      </c>
      <c r="G205" s="1" t="s">
        <v>378</v>
      </c>
      <c r="J205" s="1" t="s">
        <v>87</v>
      </c>
      <c r="K205" s="31">
        <v>46262</v>
      </c>
      <c r="L205" s="31">
        <v>46262</v>
      </c>
      <c r="P205" s="1" t="s">
        <v>379</v>
      </c>
      <c r="Q205" s="1" t="s">
        <v>379</v>
      </c>
      <c r="T205" s="1">
        <v>5662</v>
      </c>
      <c r="U205" s="1" t="s">
        <v>381</v>
      </c>
      <c r="Y205" s="1" t="b">
        <v>1</v>
      </c>
      <c r="AA205" s="1" t="s">
        <v>94</v>
      </c>
      <c r="AC205" s="1">
        <v>875</v>
      </c>
      <c r="AD205" s="31">
        <v>46225</v>
      </c>
      <c r="AE205" s="31">
        <v>46161</v>
      </c>
      <c r="AF205" s="1">
        <v>102</v>
      </c>
      <c r="AG205" s="1">
        <v>102</v>
      </c>
      <c r="AH205" s="1" t="s">
        <v>414</v>
      </c>
      <c r="AI205" s="1" t="b">
        <v>0</v>
      </c>
      <c r="AJ205" s="1" t="s">
        <v>796</v>
      </c>
      <c r="AK205" s="1" t="str">
        <f>IF(ISBLANK(SharePointTasks[[#This Row],[Operational ActionId]]), SharePointTasks[[#This Row],[Title]], SharePointTasks[[#This Row],[Title]] &amp; " (" &amp; VLOOKUP(SharePointTasks[[#This Row],[Operational ActionId]], Operational_Actions[], 6, FALSE) &amp; ")")</f>
        <v>Awards Ceremony (Saturday afternoon)</v>
      </c>
      <c r="AM205" s="1" t="str">
        <v>Awards Ceremony (Saturday afternoon)</v>
      </c>
    </row>
    <row r="206" spans="1:39" x14ac:dyDescent="0.2">
      <c r="A206" s="1">
        <v>0</v>
      </c>
      <c r="B206" s="1">
        <v>876</v>
      </c>
      <c r="D206" s="1" t="s">
        <v>348</v>
      </c>
      <c r="E206" s="1" t="s">
        <v>797</v>
      </c>
      <c r="F206" s="1" t="s">
        <v>795</v>
      </c>
      <c r="G206" s="1" t="s">
        <v>378</v>
      </c>
      <c r="J206" s="1" t="s">
        <v>87</v>
      </c>
      <c r="K206" s="31">
        <v>46263</v>
      </c>
      <c r="L206" s="31">
        <v>46263</v>
      </c>
      <c r="P206" s="1" t="s">
        <v>379</v>
      </c>
      <c r="Q206" s="1" t="s">
        <v>379</v>
      </c>
      <c r="T206" s="1">
        <v>5663</v>
      </c>
      <c r="U206" s="1" t="s">
        <v>381</v>
      </c>
      <c r="Y206" s="1" t="b">
        <v>1</v>
      </c>
      <c r="AA206" s="1" t="s">
        <v>94</v>
      </c>
      <c r="AC206" s="1">
        <v>876</v>
      </c>
      <c r="AD206" s="31">
        <v>46225</v>
      </c>
      <c r="AE206" s="31">
        <v>46161</v>
      </c>
      <c r="AF206" s="1">
        <v>102</v>
      </c>
      <c r="AG206" s="1">
        <v>102</v>
      </c>
      <c r="AH206" s="1" t="s">
        <v>414</v>
      </c>
      <c r="AI206" s="1" t="b">
        <v>0</v>
      </c>
      <c r="AJ206" s="1" t="s">
        <v>798</v>
      </c>
      <c r="AK206" s="1" t="str">
        <f>IF(ISBLANK(SharePointTasks[[#This Row],[Operational ActionId]]), SharePointTasks[[#This Row],[Title]], SharePointTasks[[#This Row],[Title]] &amp; " (" &amp; VLOOKUP(SharePointTasks[[#This Row],[Operational ActionId]], Operational_Actions[], 6, FALSE) &amp; ")")</f>
        <v>Awards Ceremony (Sunday morning)</v>
      </c>
      <c r="AM206" s="1" t="str">
        <v>Awards Ceremony (Sunday morning)</v>
      </c>
    </row>
    <row r="207" spans="1:39" x14ac:dyDescent="0.2">
      <c r="A207" s="1">
        <v>0</v>
      </c>
      <c r="B207" s="1">
        <v>1160</v>
      </c>
      <c r="D207" s="1" t="s">
        <v>348</v>
      </c>
      <c r="E207" s="1" t="s">
        <v>799</v>
      </c>
      <c r="F207" s="1" t="s">
        <v>800</v>
      </c>
      <c r="G207" s="1" t="s">
        <v>657</v>
      </c>
      <c r="I207" s="1" t="s">
        <v>658</v>
      </c>
      <c r="J207" s="1" t="s">
        <v>697</v>
      </c>
      <c r="K207" s="31">
        <v>46265</v>
      </c>
      <c r="L207" s="31">
        <v>46294</v>
      </c>
      <c r="P207" s="1" t="s">
        <v>379</v>
      </c>
      <c r="Q207" s="1" t="s">
        <v>379</v>
      </c>
      <c r="U207" s="1" t="s">
        <v>381</v>
      </c>
      <c r="X207" s="1">
        <v>12</v>
      </c>
      <c r="Y207" s="1" t="b">
        <v>1</v>
      </c>
      <c r="AA207" s="1" t="s">
        <v>6</v>
      </c>
      <c r="AC207" s="1">
        <v>1160</v>
      </c>
      <c r="AD207" s="31">
        <v>46219</v>
      </c>
      <c r="AE207" s="31">
        <v>46219</v>
      </c>
      <c r="AF207" s="1">
        <v>102</v>
      </c>
      <c r="AG207" s="1">
        <v>102</v>
      </c>
      <c r="AH207" s="1" t="s">
        <v>660</v>
      </c>
      <c r="AI207" s="1" t="b">
        <v>0</v>
      </c>
      <c r="AJ207" s="1" t="s">
        <v>801</v>
      </c>
      <c r="AK207" s="1" t="str">
        <f>IF(ISBLANK(SharePointTasks[[#This Row],[Operational ActionId]]), SharePointTasks[[#This Row],[Title]], SharePointTasks[[#This Row],[Title]] &amp; " (" &amp; VLOOKUP(SharePointTasks[[#This Row],[Operational ActionId]], Operational_Actions[], 6, FALSE) &amp; ")")</f>
        <v>Launch in time for Term 4 (Achievement Pathways Improvements (2026))</v>
      </c>
      <c r="AM207" s="1" t="str">
        <v>Launch in time for Term 4 (Achievement Pathways Improvements (2026))</v>
      </c>
    </row>
    <row r="208" spans="1:39" x14ac:dyDescent="0.2">
      <c r="A208" s="1">
        <v>0</v>
      </c>
      <c r="B208" s="1">
        <v>1170</v>
      </c>
      <c r="D208" s="1" t="s">
        <v>348</v>
      </c>
      <c r="E208" s="1" t="s">
        <v>803</v>
      </c>
      <c r="G208" s="1" t="s">
        <v>696</v>
      </c>
      <c r="I208" s="1" t="s">
        <v>658</v>
      </c>
      <c r="J208" s="1" t="s">
        <v>697</v>
      </c>
      <c r="K208" s="31">
        <v>46265</v>
      </c>
      <c r="L208" s="31">
        <v>46279</v>
      </c>
      <c r="P208" s="1" t="s">
        <v>379</v>
      </c>
      <c r="Q208" s="1" t="s">
        <v>379</v>
      </c>
      <c r="U208" s="1" t="s">
        <v>381</v>
      </c>
      <c r="X208" s="1">
        <v>12</v>
      </c>
      <c r="Y208" s="1" t="b">
        <v>1</v>
      </c>
      <c r="AA208" s="1" t="s">
        <v>7</v>
      </c>
      <c r="AC208" s="1">
        <v>1170</v>
      </c>
      <c r="AD208" s="31">
        <v>46219</v>
      </c>
      <c r="AE208" s="31">
        <v>46219</v>
      </c>
      <c r="AF208" s="1">
        <v>102</v>
      </c>
      <c r="AG208" s="1">
        <v>102</v>
      </c>
      <c r="AH208" s="1" t="s">
        <v>660</v>
      </c>
      <c r="AI208" s="1" t="b">
        <v>0</v>
      </c>
      <c r="AJ208" s="1" t="s">
        <v>804</v>
      </c>
      <c r="AK208" s="1" t="str">
        <f>IF(ISBLANK(SharePointTasks[[#This Row],[Operational ActionId]]), SharePointTasks[[#This Row],[Title]], SharePointTasks[[#This Row],[Title]] &amp; " (" &amp; VLOOKUP(SharePointTasks[[#This Row],[Operational ActionId]], Operational_Actions[], 6, FALSE) &amp; ")")</f>
        <v>Social media promotion for Program Pulse, encouraging Units to complete towards the end of Term 3 (Achievement Pathways Improvements (2026))</v>
      </c>
      <c r="AM208" s="1" t="str">
        <v>Social media promotion for Program Pulse, encouraging Units to complete towards the end of Term 3 (Achievement Pathways Improvements (2026))</v>
      </c>
    </row>
    <row r="209" spans="1:39" x14ac:dyDescent="0.2">
      <c r="A209" s="1">
        <v>0</v>
      </c>
      <c r="B209" s="1">
        <v>914</v>
      </c>
      <c r="D209" s="1" t="s">
        <v>348</v>
      </c>
      <c r="E209" s="1" t="s">
        <v>806</v>
      </c>
      <c r="F209" s="1" t="s">
        <v>416</v>
      </c>
      <c r="G209" s="1" t="s">
        <v>378</v>
      </c>
      <c r="J209" s="1" t="s">
        <v>87</v>
      </c>
      <c r="K209" s="31">
        <v>46267</v>
      </c>
      <c r="L209" s="31">
        <v>46267</v>
      </c>
      <c r="P209" s="1" t="s">
        <v>379</v>
      </c>
      <c r="Q209" s="1" t="s">
        <v>379</v>
      </c>
      <c r="T209" s="1">
        <v>5703</v>
      </c>
      <c r="U209" s="1" t="s">
        <v>381</v>
      </c>
      <c r="Y209" s="1" t="b">
        <v>1</v>
      </c>
      <c r="AA209" s="1" t="s">
        <v>94</v>
      </c>
      <c r="AC209" s="1">
        <v>914</v>
      </c>
      <c r="AD209" s="31">
        <v>46225</v>
      </c>
      <c r="AE209" s="31">
        <v>46161</v>
      </c>
      <c r="AF209" s="1">
        <v>102</v>
      </c>
      <c r="AG209" s="1">
        <v>102</v>
      </c>
      <c r="AH209" s="1" t="s">
        <v>414</v>
      </c>
      <c r="AI209" s="1" t="b">
        <v>0</v>
      </c>
      <c r="AJ209" s="1" t="s">
        <v>807</v>
      </c>
      <c r="AK209" s="1" t="str">
        <f>IF(ISBLANK(SharePointTasks[[#This Row],[Operational ActionId]]), SharePointTasks[[#This Row],[Title]], SharePointTasks[[#This Row],[Title]] &amp; " (" &amp; VLOOKUP(SharePointTasks[[#This Row],[Operational ActionId]], Operational_Actions[], 6, FALSE) &amp; ")")</f>
        <v>Australian National Flag Day</v>
      </c>
      <c r="AM209" s="1" t="str">
        <v>Australian National Flag Day</v>
      </c>
    </row>
    <row r="210" spans="1:39" x14ac:dyDescent="0.2">
      <c r="A210" s="1">
        <v>0</v>
      </c>
      <c r="B210" s="1">
        <v>897</v>
      </c>
      <c r="D210" s="1" t="s">
        <v>348</v>
      </c>
      <c r="E210" s="1" t="s">
        <v>534</v>
      </c>
      <c r="F210" s="1" t="s">
        <v>535</v>
      </c>
      <c r="G210" s="1" t="s">
        <v>378</v>
      </c>
      <c r="J210" s="1" t="s">
        <v>87</v>
      </c>
      <c r="K210" s="31">
        <v>46268</v>
      </c>
      <c r="L210" s="31">
        <v>46270</v>
      </c>
      <c r="P210" s="1" t="s">
        <v>379</v>
      </c>
      <c r="Q210" s="1" t="s">
        <v>379</v>
      </c>
      <c r="T210" s="1">
        <v>5686</v>
      </c>
      <c r="U210" s="1" t="s">
        <v>381</v>
      </c>
      <c r="Y210" s="1" t="b">
        <v>1</v>
      </c>
      <c r="AA210" s="1" t="s">
        <v>94</v>
      </c>
      <c r="AC210" s="1">
        <v>897</v>
      </c>
      <c r="AD210" s="31">
        <v>46225</v>
      </c>
      <c r="AE210" s="31">
        <v>46161</v>
      </c>
      <c r="AF210" s="1">
        <v>102</v>
      </c>
      <c r="AG210" s="1">
        <v>102</v>
      </c>
      <c r="AH210" s="1" t="s">
        <v>414</v>
      </c>
      <c r="AI210" s="1" t="b">
        <v>0</v>
      </c>
      <c r="AJ210" s="1" t="s">
        <v>808</v>
      </c>
      <c r="AK210" s="1" t="str">
        <f>IF(ISBLANK(SharePointTasks[[#This Row],[Operational ActionId]]), SharePointTasks[[#This Row],[Title]], SharePointTasks[[#This Row],[Title]] &amp; " (" &amp; VLOOKUP(SharePointTasks[[#This Row],[Operational ActionId]], Operational_Actions[], 6, FALSE) &amp; ")")</f>
        <v>Region Activity Weekend (RAW)</v>
      </c>
      <c r="AM210" s="1" t="str">
        <v>Region Activity Weekend (RAW)</v>
      </c>
    </row>
    <row r="211" spans="1:39" x14ac:dyDescent="0.2">
      <c r="A211" s="1">
        <v>0</v>
      </c>
      <c r="B211" s="1">
        <v>1003</v>
      </c>
      <c r="D211" s="1" t="s">
        <v>348</v>
      </c>
      <c r="E211" s="1" t="s">
        <v>98</v>
      </c>
      <c r="F211" s="1" t="s">
        <v>809</v>
      </c>
      <c r="G211" s="1" t="s">
        <v>378</v>
      </c>
      <c r="J211" s="1" t="s">
        <v>87</v>
      </c>
      <c r="K211" s="31">
        <v>46269</v>
      </c>
      <c r="L211" s="31">
        <v>46269</v>
      </c>
      <c r="P211" s="1" t="s">
        <v>379</v>
      </c>
      <c r="Q211" s="1" t="s">
        <v>379</v>
      </c>
      <c r="T211" s="1">
        <v>6040</v>
      </c>
      <c r="U211" s="1" t="s">
        <v>381</v>
      </c>
      <c r="Y211" s="1" t="b">
        <v>1</v>
      </c>
      <c r="AA211" s="1" t="s">
        <v>94</v>
      </c>
      <c r="AC211" s="1">
        <v>1003</v>
      </c>
      <c r="AD211" s="31">
        <v>46225</v>
      </c>
      <c r="AE211" s="31">
        <v>46161</v>
      </c>
      <c r="AF211" s="1">
        <v>102</v>
      </c>
      <c r="AG211" s="1">
        <v>102</v>
      </c>
      <c r="AH211" s="1" t="s">
        <v>414</v>
      </c>
      <c r="AI211" s="1" t="b">
        <v>0</v>
      </c>
      <c r="AJ211" s="1" t="s">
        <v>810</v>
      </c>
      <c r="AK211" s="1" t="str">
        <f>IF(ISBLANK(SharePointTasks[[#This Row],[Operational ActionId]]), SharePointTasks[[#This Row],[Title]], SharePointTasks[[#This Row],[Title]] &amp; " (" &amp; VLOOKUP(SharePointTasks[[#This Row],[Operational ActionId]], Operational_Actions[], 6, FALSE) &amp; ")")</f>
        <v>Skillorama</v>
      </c>
      <c r="AM211" s="1" t="str">
        <v>Skillorama</v>
      </c>
    </row>
    <row r="212" spans="1:39" x14ac:dyDescent="0.2">
      <c r="A212" s="1">
        <v>0</v>
      </c>
      <c r="B212" s="1">
        <v>1038</v>
      </c>
      <c r="D212" s="1" t="s">
        <v>348</v>
      </c>
      <c r="E212" s="1" t="s">
        <v>582</v>
      </c>
      <c r="F212" s="1" t="s">
        <v>583</v>
      </c>
      <c r="G212" s="1" t="s">
        <v>378</v>
      </c>
      <c r="J212" s="1" t="s">
        <v>87</v>
      </c>
      <c r="K212" s="31">
        <v>46269</v>
      </c>
      <c r="L212" s="31">
        <v>46299</v>
      </c>
      <c r="P212" s="1" t="s">
        <v>379</v>
      </c>
      <c r="Q212" s="1" t="s">
        <v>379</v>
      </c>
      <c r="S212" s="1" t="s">
        <v>380</v>
      </c>
      <c r="T212" s="1">
        <v>7368</v>
      </c>
      <c r="U212" s="1" t="s">
        <v>381</v>
      </c>
      <c r="AA212" s="1" t="s">
        <v>5</v>
      </c>
      <c r="AC212" s="1">
        <v>1038</v>
      </c>
      <c r="AD212" s="31">
        <v>46221</v>
      </c>
      <c r="AE212" s="31">
        <v>46161</v>
      </c>
      <c r="AF212" s="1">
        <v>102</v>
      </c>
      <c r="AG212" s="1">
        <v>102</v>
      </c>
      <c r="AH212" s="1" t="s">
        <v>519</v>
      </c>
      <c r="AI212" s="1" t="b">
        <v>0</v>
      </c>
      <c r="AJ212" s="1" t="s">
        <v>811</v>
      </c>
      <c r="AK212" s="1" t="str">
        <f>IF(ISBLANK(SharePointTasks[[#This Row],[Operational ActionId]]), SharePointTasks[[#This Row],[Title]], SharePointTasks[[#This Row],[Title]] &amp; " (" &amp; VLOOKUP(SharePointTasks[[#This Row],[Operational ActionId]], Operational_Actions[], 6, FALSE) &amp; ")")</f>
        <v>Vertical - Abseiling Natural TP (Wide Bay)</v>
      </c>
      <c r="AM212" s="1" t="str">
        <v>Vertical - Abseiling Natural TP (Wide Bay)</v>
      </c>
    </row>
    <row r="213" spans="1:39" x14ac:dyDescent="0.2">
      <c r="A213" s="1">
        <v>0</v>
      </c>
      <c r="B213" s="1">
        <v>1031</v>
      </c>
      <c r="D213" s="1" t="s">
        <v>348</v>
      </c>
      <c r="E213" s="1" t="s">
        <v>812</v>
      </c>
      <c r="F213" s="1" t="s">
        <v>813</v>
      </c>
      <c r="G213" s="1" t="s">
        <v>378</v>
      </c>
      <c r="J213" s="1" t="s">
        <v>87</v>
      </c>
      <c r="K213" s="31">
        <v>46274</v>
      </c>
      <c r="L213" s="31">
        <v>46335</v>
      </c>
      <c r="P213" s="1" t="s">
        <v>379</v>
      </c>
      <c r="Q213" s="1" t="s">
        <v>379</v>
      </c>
      <c r="T213" s="1">
        <v>7249</v>
      </c>
      <c r="U213" s="1" t="s">
        <v>381</v>
      </c>
      <c r="AA213" s="1" t="s">
        <v>5</v>
      </c>
      <c r="AC213" s="1">
        <v>1031</v>
      </c>
      <c r="AD213" s="31">
        <v>46221</v>
      </c>
      <c r="AE213" s="31">
        <v>46161</v>
      </c>
      <c r="AF213" s="1">
        <v>102</v>
      </c>
      <c r="AG213" s="1">
        <v>102</v>
      </c>
      <c r="AH213" s="1" t="s">
        <v>519</v>
      </c>
      <c r="AI213" s="1" t="b">
        <v>0</v>
      </c>
      <c r="AJ213" s="1" t="s">
        <v>818</v>
      </c>
      <c r="AK213" s="1" t="str">
        <f>IF(ISBLANK(SharePointTasks[[#This Row],[Operational ActionId]]), SharePointTasks[[#This Row],[Title]], SharePointTasks[[#This Row],[Title]] &amp; " (" &amp; VLOOKUP(SharePointTasks[[#This Row],[Operational ActionId]], Operational_Actions[], 6, FALSE) &amp; ")")</f>
        <v>Scouting Leadership (Emerald)</v>
      </c>
      <c r="AM213" s="1" t="str">
        <v>Scouting Leadership (Emerald)</v>
      </c>
    </row>
    <row r="214" spans="1:39" x14ac:dyDescent="0.2">
      <c r="A214" s="1">
        <v>0</v>
      </c>
      <c r="B214" s="1">
        <v>1032</v>
      </c>
      <c r="D214" s="1" t="s">
        <v>348</v>
      </c>
      <c r="E214" s="1" t="s">
        <v>815</v>
      </c>
      <c r="F214" s="1" t="s">
        <v>816</v>
      </c>
      <c r="G214" s="1" t="s">
        <v>378</v>
      </c>
      <c r="J214" s="1" t="s">
        <v>87</v>
      </c>
      <c r="K214" s="31">
        <v>46274</v>
      </c>
      <c r="L214" s="31">
        <v>46335</v>
      </c>
      <c r="P214" s="1" t="s">
        <v>379</v>
      </c>
      <c r="Q214" s="1" t="s">
        <v>379</v>
      </c>
      <c r="T214" s="1">
        <v>7250</v>
      </c>
      <c r="U214" s="1" t="s">
        <v>381</v>
      </c>
      <c r="AA214" s="1" t="s">
        <v>5</v>
      </c>
      <c r="AC214" s="1">
        <v>1032</v>
      </c>
      <c r="AD214" s="31">
        <v>46221</v>
      </c>
      <c r="AE214" s="31">
        <v>46161</v>
      </c>
      <c r="AF214" s="1">
        <v>102</v>
      </c>
      <c r="AG214" s="1">
        <v>102</v>
      </c>
      <c r="AH214" s="1" t="s">
        <v>519</v>
      </c>
      <c r="AI214" s="1" t="b">
        <v>0</v>
      </c>
      <c r="AJ214" s="1" t="s">
        <v>817</v>
      </c>
      <c r="AK214" s="1" t="str">
        <f>IF(ISBLANK(SharePointTasks[[#This Row],[Operational ActionId]]), SharePointTasks[[#This Row],[Title]], SharePointTasks[[#This Row],[Title]] &amp; " (" &amp; VLOOKUP(SharePointTasks[[#This Row],[Operational ActionId]], Operational_Actions[], 6, FALSE) &amp; ")")</f>
        <v>Scouting Essentials (FNQ)</v>
      </c>
      <c r="AM214" s="1" t="str">
        <v>Scouting Essentials (FNQ)</v>
      </c>
    </row>
    <row r="215" spans="1:39" x14ac:dyDescent="0.2">
      <c r="A215" s="1">
        <v>0</v>
      </c>
      <c r="B215" s="1">
        <v>1054</v>
      </c>
      <c r="D215" s="1" t="s">
        <v>348</v>
      </c>
      <c r="E215" s="1" t="s">
        <v>812</v>
      </c>
      <c r="F215" s="1" t="s">
        <v>813</v>
      </c>
      <c r="G215" s="1" t="s">
        <v>378</v>
      </c>
      <c r="J215" s="1" t="s">
        <v>87</v>
      </c>
      <c r="K215" s="31">
        <v>46274</v>
      </c>
      <c r="L215" s="31">
        <v>46335</v>
      </c>
      <c r="P215" s="1" t="s">
        <v>379</v>
      </c>
      <c r="Q215" s="1" t="s">
        <v>379</v>
      </c>
      <c r="S215" s="1" t="s">
        <v>380</v>
      </c>
      <c r="T215" s="1">
        <v>7394</v>
      </c>
      <c r="U215" s="1" t="s">
        <v>381</v>
      </c>
      <c r="AA215" s="1" t="s">
        <v>5</v>
      </c>
      <c r="AC215" s="1">
        <v>1054</v>
      </c>
      <c r="AD215" s="31">
        <v>46221</v>
      </c>
      <c r="AE215" s="31">
        <v>46161</v>
      </c>
      <c r="AF215" s="1">
        <v>102</v>
      </c>
      <c r="AG215" s="1">
        <v>102</v>
      </c>
      <c r="AH215" s="1" t="s">
        <v>519</v>
      </c>
      <c r="AI215" s="1" t="b">
        <v>0</v>
      </c>
      <c r="AJ215" s="1" t="s">
        <v>814</v>
      </c>
      <c r="AK215" s="1" t="str">
        <f>IF(ISBLANK(SharePointTasks[[#This Row],[Operational ActionId]]), SharePointTasks[[#This Row],[Title]], SharePointTasks[[#This Row],[Title]] &amp; " (" &amp; VLOOKUP(SharePointTasks[[#This Row],[Operational ActionId]], Operational_Actions[], 6, FALSE) &amp; ")")</f>
        <v>Scouting Leadership (Emerald)</v>
      </c>
      <c r="AM215" s="1" t="str">
        <v>Scouting Leadership (Emerald)</v>
      </c>
    </row>
    <row r="216" spans="1:39" x14ac:dyDescent="0.2">
      <c r="A216" s="1">
        <v>0</v>
      </c>
      <c r="B216" s="1">
        <v>1055</v>
      </c>
      <c r="D216" s="1" t="s">
        <v>348</v>
      </c>
      <c r="E216" s="1" t="s">
        <v>815</v>
      </c>
      <c r="F216" s="1" t="s">
        <v>816</v>
      </c>
      <c r="G216" s="1" t="s">
        <v>378</v>
      </c>
      <c r="J216" s="1" t="s">
        <v>87</v>
      </c>
      <c r="K216" s="31">
        <v>46274</v>
      </c>
      <c r="L216" s="31">
        <v>46335</v>
      </c>
      <c r="P216" s="1" t="s">
        <v>379</v>
      </c>
      <c r="Q216" s="1" t="s">
        <v>379</v>
      </c>
      <c r="S216" s="1" t="s">
        <v>380</v>
      </c>
      <c r="T216" s="1">
        <v>7395</v>
      </c>
      <c r="U216" s="1" t="s">
        <v>381</v>
      </c>
      <c r="AA216" s="1" t="s">
        <v>5</v>
      </c>
      <c r="AC216" s="1">
        <v>1055</v>
      </c>
      <c r="AD216" s="31">
        <v>46221</v>
      </c>
      <c r="AE216" s="31">
        <v>46161</v>
      </c>
      <c r="AF216" s="1">
        <v>102</v>
      </c>
      <c r="AG216" s="1">
        <v>102</v>
      </c>
      <c r="AH216" s="1" t="s">
        <v>519</v>
      </c>
      <c r="AI216" s="1" t="b">
        <v>0</v>
      </c>
      <c r="AJ216" s="1" t="s">
        <v>819</v>
      </c>
      <c r="AK216" s="1" t="str">
        <f>IF(ISBLANK(SharePointTasks[[#This Row],[Operational ActionId]]), SharePointTasks[[#This Row],[Title]], SharePointTasks[[#This Row],[Title]] &amp; " (" &amp; VLOOKUP(SharePointTasks[[#This Row],[Operational ActionId]], Operational_Actions[], 6, FALSE) &amp; ")")</f>
        <v>Scouting Essentials (FNQ)</v>
      </c>
      <c r="AM216" s="1" t="str">
        <v>Scouting Essentials (FNQ)</v>
      </c>
    </row>
    <row r="217" spans="1:39" x14ac:dyDescent="0.2">
      <c r="A217" s="1">
        <v>0</v>
      </c>
      <c r="B217" s="1">
        <v>1118</v>
      </c>
      <c r="D217" s="1" t="s">
        <v>348</v>
      </c>
      <c r="E217" s="1" t="s">
        <v>421</v>
      </c>
      <c r="F217" s="1" t="s">
        <v>820</v>
      </c>
      <c r="G217" s="1" t="s">
        <v>378</v>
      </c>
      <c r="J217" s="1" t="s">
        <v>87</v>
      </c>
      <c r="K217" s="31">
        <v>46276</v>
      </c>
      <c r="L217" s="31">
        <v>46276</v>
      </c>
      <c r="P217" s="1" t="s">
        <v>379</v>
      </c>
      <c r="Q217" s="1" t="s">
        <v>379</v>
      </c>
      <c r="S217" s="1" t="s">
        <v>380</v>
      </c>
      <c r="T217" s="1">
        <v>7597</v>
      </c>
      <c r="U217" s="1" t="s">
        <v>381</v>
      </c>
      <c r="AA217" s="1" t="s">
        <v>5</v>
      </c>
      <c r="AC217" s="1">
        <v>1118</v>
      </c>
      <c r="AD217" s="31">
        <v>46221</v>
      </c>
      <c r="AE217" s="31">
        <v>46161</v>
      </c>
      <c r="AF217" s="1">
        <v>102</v>
      </c>
      <c r="AG217" s="1">
        <v>102</v>
      </c>
      <c r="AH217" s="1" t="s">
        <v>519</v>
      </c>
      <c r="AI217" s="1" t="b">
        <v>0</v>
      </c>
      <c r="AJ217" s="1" t="s">
        <v>821</v>
      </c>
      <c r="AK217" s="1" t="str">
        <f>IF(ISBLANK(SharePointTasks[[#This Row],[Operational ActionId]]), SharePointTasks[[#This Row],[Title]], SharePointTasks[[#This Row],[Title]] &amp; " (" &amp; VLOOKUP(SharePointTasks[[#This Row],[Operational ActionId]], Operational_Actions[], 6, FALSE) &amp; ")")</f>
        <v>Cycling - Off Road - SP/TP (Brisbane)</v>
      </c>
      <c r="AM217" s="1" t="str">
        <v>Cycling - Off Road - SP/TP (Brisbane)</v>
      </c>
    </row>
    <row r="218" spans="1:39" x14ac:dyDescent="0.2">
      <c r="A218" s="1">
        <v>0</v>
      </c>
      <c r="B218" s="1">
        <v>987</v>
      </c>
      <c r="D218" s="1" t="s">
        <v>348</v>
      </c>
      <c r="E218" s="1" t="s">
        <v>442</v>
      </c>
      <c r="F218" s="1" t="s">
        <v>406</v>
      </c>
      <c r="G218" s="1" t="s">
        <v>378</v>
      </c>
      <c r="J218" s="1" t="s">
        <v>87</v>
      </c>
      <c r="K218" s="31">
        <v>46280</v>
      </c>
      <c r="L218" s="31">
        <v>46280</v>
      </c>
      <c r="P218" s="1" t="s">
        <v>379</v>
      </c>
      <c r="Q218" s="1" t="s">
        <v>379</v>
      </c>
      <c r="T218" s="1">
        <v>5777</v>
      </c>
      <c r="U218" s="1" t="s">
        <v>381</v>
      </c>
      <c r="Y218" s="1" t="b">
        <v>1</v>
      </c>
      <c r="AA218" s="1" t="s">
        <v>94</v>
      </c>
      <c r="AC218" s="1">
        <v>987</v>
      </c>
      <c r="AD218" s="31">
        <v>46225</v>
      </c>
      <c r="AE218" s="31">
        <v>46161</v>
      </c>
      <c r="AF218" s="1">
        <v>102</v>
      </c>
      <c r="AG218" s="1">
        <v>102</v>
      </c>
      <c r="AH218" s="1" t="s">
        <v>414</v>
      </c>
      <c r="AI218" s="1" t="b">
        <v>0</v>
      </c>
      <c r="AJ218" s="1" t="s">
        <v>822</v>
      </c>
      <c r="AK218" s="1" t="str">
        <f>IF(ISBLANK(SharePointTasks[[#This Row],[Operational ActionId]]), SharePointTasks[[#This Row],[Title]], SharePointTasks[[#This Row],[Title]] &amp; " (" &amp; VLOOKUP(SharePointTasks[[#This Row],[Operational ActionId]], Operational_Actions[], 6, FALSE) &amp; ")")</f>
        <v>Branch Youth Venturer Scout Council</v>
      </c>
      <c r="AM218" s="1" t="str">
        <v>Branch Youth Venturer Scout Council</v>
      </c>
    </row>
    <row r="219" spans="1:39" x14ac:dyDescent="0.2">
      <c r="A219" s="1">
        <v>0</v>
      </c>
      <c r="B219" s="1">
        <v>935</v>
      </c>
      <c r="D219" s="1" t="s">
        <v>348</v>
      </c>
      <c r="E219" s="1" t="s">
        <v>445</v>
      </c>
      <c r="F219" s="1" t="s">
        <v>406</v>
      </c>
      <c r="G219" s="1" t="s">
        <v>378</v>
      </c>
      <c r="J219" s="1" t="s">
        <v>87</v>
      </c>
      <c r="K219" s="31">
        <v>46281</v>
      </c>
      <c r="L219" s="31">
        <v>46281</v>
      </c>
      <c r="P219" s="1" t="s">
        <v>379</v>
      </c>
      <c r="Q219" s="1" t="s">
        <v>379</v>
      </c>
      <c r="T219" s="1">
        <v>5725</v>
      </c>
      <c r="U219" s="1" t="s">
        <v>381</v>
      </c>
      <c r="Y219" s="1" t="b">
        <v>1</v>
      </c>
      <c r="AA219" s="1" t="s">
        <v>94</v>
      </c>
      <c r="AC219" s="1">
        <v>935</v>
      </c>
      <c r="AD219" s="31">
        <v>46225</v>
      </c>
      <c r="AE219" s="31">
        <v>46161</v>
      </c>
      <c r="AF219" s="1">
        <v>102</v>
      </c>
      <c r="AG219" s="1">
        <v>102</v>
      </c>
      <c r="AH219" s="1" t="s">
        <v>414</v>
      </c>
      <c r="AI219" s="1" t="b">
        <v>0</v>
      </c>
      <c r="AJ219" s="1" t="s">
        <v>823</v>
      </c>
      <c r="AK219" s="1" t="str">
        <f>IF(ISBLANK(SharePointTasks[[#This Row],[Operational ActionId]]), SharePointTasks[[#This Row],[Title]], SharePointTasks[[#This Row],[Title]] &amp; " (" &amp; VLOOKUP(SharePointTasks[[#This Row],[Operational ActionId]], Operational_Actions[], 6, FALSE) &amp; ")")</f>
        <v>Branch Cub Scout Section Team Meeting</v>
      </c>
      <c r="AM219" s="1" t="str">
        <v>Branch Cub Scout Section Team Meeting</v>
      </c>
    </row>
    <row r="220" spans="1:39" x14ac:dyDescent="0.2">
      <c r="A220" s="1">
        <v>0</v>
      </c>
      <c r="B220" s="1">
        <v>1171</v>
      </c>
      <c r="D220" s="1" t="s">
        <v>348</v>
      </c>
      <c r="E220" s="1" t="s">
        <v>824</v>
      </c>
      <c r="G220" s="1" t="s">
        <v>696</v>
      </c>
      <c r="I220" s="1" t="s">
        <v>658</v>
      </c>
      <c r="J220" s="1" t="s">
        <v>697</v>
      </c>
      <c r="K220" s="31">
        <v>46282</v>
      </c>
      <c r="L220" s="31">
        <v>46282</v>
      </c>
      <c r="P220" s="1" t="s">
        <v>379</v>
      </c>
      <c r="Q220" s="1" t="s">
        <v>379</v>
      </c>
      <c r="U220" s="1" t="s">
        <v>381</v>
      </c>
      <c r="X220" s="1">
        <v>12</v>
      </c>
      <c r="Y220" s="1" t="b">
        <v>1</v>
      </c>
      <c r="AA220" s="1" t="s">
        <v>6</v>
      </c>
      <c r="AC220" s="1">
        <v>1171</v>
      </c>
      <c r="AD220" s="31">
        <v>46219</v>
      </c>
      <c r="AE220" s="31">
        <v>46219</v>
      </c>
      <c r="AF220" s="1">
        <v>102</v>
      </c>
      <c r="AG220" s="1">
        <v>102</v>
      </c>
      <c r="AH220" s="1" t="s">
        <v>660</v>
      </c>
      <c r="AI220" s="1" t="b">
        <v>0</v>
      </c>
      <c r="AJ220" s="1" t="s">
        <v>825</v>
      </c>
      <c r="AK220" s="1" t="str">
        <f>IF(ISBLANK(SharePointTasks[[#This Row],[Operational ActionId]]), SharePointTasks[[#This Row],[Title]], SharePointTasks[[#This Row],[Title]] &amp; " (" &amp; VLOOKUP(SharePointTasks[[#This Row],[Operational ActionId]], Operational_Actions[], 6, FALSE) &amp; ")")</f>
        <v>Migration of existing resources on pr.scouts.com.au to Zoho knowledge base complete (Achievement Pathways Improvements (2026))</v>
      </c>
      <c r="AM220" s="1" t="str">
        <v>Migration of existing resources on pr.scouts.com.au to Zoho knowledge base complete (Achievement Pathways Improvements (2026))</v>
      </c>
    </row>
    <row r="221" spans="1:39" x14ac:dyDescent="0.2">
      <c r="A221" s="1">
        <v>0</v>
      </c>
      <c r="B221" s="1">
        <v>873</v>
      </c>
      <c r="D221" s="1" t="s">
        <v>348</v>
      </c>
      <c r="E221" s="1" t="s">
        <v>827</v>
      </c>
      <c r="F221" s="1" t="s">
        <v>416</v>
      </c>
      <c r="G221" s="1" t="s">
        <v>378</v>
      </c>
      <c r="J221" s="1" t="s">
        <v>87</v>
      </c>
      <c r="K221" s="31">
        <v>46283</v>
      </c>
      <c r="L221" s="31">
        <v>46289</v>
      </c>
      <c r="P221" s="1" t="s">
        <v>379</v>
      </c>
      <c r="Q221" s="1" t="s">
        <v>379</v>
      </c>
      <c r="T221" s="1">
        <v>5660</v>
      </c>
      <c r="U221" s="1" t="s">
        <v>381</v>
      </c>
      <c r="Y221" s="1" t="b">
        <v>1</v>
      </c>
      <c r="AA221" s="1" t="s">
        <v>94</v>
      </c>
      <c r="AC221" s="1">
        <v>873</v>
      </c>
      <c r="AD221" s="31">
        <v>46225</v>
      </c>
      <c r="AE221" s="31">
        <v>46161</v>
      </c>
      <c r="AF221" s="1">
        <v>102</v>
      </c>
      <c r="AG221" s="1">
        <v>102</v>
      </c>
      <c r="AH221" s="1" t="s">
        <v>414</v>
      </c>
      <c r="AI221" s="1" t="b">
        <v>0</v>
      </c>
      <c r="AJ221" s="1" t="s">
        <v>828</v>
      </c>
      <c r="AK221" s="1" t="str">
        <f>IF(ISBLANK(SharePointTasks[[#This Row],[Operational ActionId]]), SharePointTasks[[#This Row],[Title]], SharePointTasks[[#This Row],[Title]] &amp; " (" &amp; VLOOKUP(SharePointTasks[[#This Row],[Operational ActionId]], Operational_Actions[], 6, FALSE) &amp; ")")</f>
        <v>Agoonoree</v>
      </c>
      <c r="AM221" s="1" t="str">
        <v>Agoonoree</v>
      </c>
    </row>
    <row r="222" spans="1:39" x14ac:dyDescent="0.2">
      <c r="A222" s="1">
        <v>0</v>
      </c>
      <c r="B222" s="1">
        <v>999</v>
      </c>
      <c r="D222" s="1" t="s">
        <v>348</v>
      </c>
      <c r="E222" s="1" t="s">
        <v>405</v>
      </c>
      <c r="F222" s="1" t="s">
        <v>406</v>
      </c>
      <c r="G222" s="1" t="s">
        <v>378</v>
      </c>
      <c r="J222" s="1" t="s">
        <v>87</v>
      </c>
      <c r="K222" s="31">
        <v>46284</v>
      </c>
      <c r="L222" s="31">
        <v>46284</v>
      </c>
      <c r="P222" s="1" t="s">
        <v>379</v>
      </c>
      <c r="Q222" s="1" t="s">
        <v>379</v>
      </c>
      <c r="T222" s="1">
        <v>5789</v>
      </c>
      <c r="U222" s="1" t="s">
        <v>381</v>
      </c>
      <c r="Y222" s="1" t="b">
        <v>1</v>
      </c>
      <c r="AA222" s="1" t="s">
        <v>94</v>
      </c>
      <c r="AC222" s="1">
        <v>999</v>
      </c>
      <c r="AD222" s="31">
        <v>46225</v>
      </c>
      <c r="AE222" s="31">
        <v>46161</v>
      </c>
      <c r="AF222" s="1">
        <v>102</v>
      </c>
      <c r="AG222" s="1">
        <v>102</v>
      </c>
      <c r="AH222" s="1" t="s">
        <v>414</v>
      </c>
      <c r="AI222" s="1" t="b">
        <v>0</v>
      </c>
      <c r="AJ222" s="1" t="s">
        <v>829</v>
      </c>
      <c r="AK222" s="1" t="str">
        <f>IF(ISBLANK(SharePointTasks[[#This Row],[Operational ActionId]]), SharePointTasks[[#This Row],[Title]], SharePointTasks[[#This Row],[Title]] &amp; " (" &amp; VLOOKUP(SharePointTasks[[#This Row],[Operational ActionId]], Operational_Actions[], 6, FALSE) &amp; ")")</f>
        <v>Queensland Branch Rover Council Meeting</v>
      </c>
      <c r="AM222" s="1" t="str">
        <v>Queensland Branch Rover Council Meeting</v>
      </c>
    </row>
    <row r="223" spans="1:39" x14ac:dyDescent="0.2">
      <c r="A223" s="1">
        <v>0</v>
      </c>
      <c r="B223" s="1">
        <v>958</v>
      </c>
      <c r="D223" s="1" t="s">
        <v>348</v>
      </c>
      <c r="E223" s="1" t="s">
        <v>409</v>
      </c>
      <c r="F223" s="1" t="s">
        <v>410</v>
      </c>
      <c r="G223" s="1" t="s">
        <v>378</v>
      </c>
      <c r="J223" s="1" t="s">
        <v>87</v>
      </c>
      <c r="K223" s="31">
        <v>46285</v>
      </c>
      <c r="L223" s="31">
        <v>46285</v>
      </c>
      <c r="P223" s="1" t="s">
        <v>379</v>
      </c>
      <c r="Q223" s="1" t="s">
        <v>379</v>
      </c>
      <c r="T223" s="1">
        <v>5748</v>
      </c>
      <c r="U223" s="1" t="s">
        <v>381</v>
      </c>
      <c r="AA223" s="1" t="s">
        <v>5</v>
      </c>
      <c r="AC223" s="1">
        <v>958</v>
      </c>
      <c r="AD223" s="31">
        <v>46221</v>
      </c>
      <c r="AE223" s="31">
        <v>46161</v>
      </c>
      <c r="AF223" s="1">
        <v>102</v>
      </c>
      <c r="AG223" s="1">
        <v>102</v>
      </c>
      <c r="AH223" s="1" t="s">
        <v>519</v>
      </c>
      <c r="AI223" s="1" t="b">
        <v>0</v>
      </c>
      <c r="AJ223" s="1" t="s">
        <v>830</v>
      </c>
      <c r="AK223" s="1" t="str">
        <f>IF(ISBLANK(SharePointTasks[[#This Row],[Operational ActionId]]), SharePointTasks[[#This Row],[Title]], SharePointTasks[[#This Row],[Title]] &amp; " (" &amp; VLOOKUP(SharePointTasks[[#This Row],[Operational ActionId]], Operational_Actions[], 6, FALSE) &amp; ")")</f>
        <v>Branch Finance Committee</v>
      </c>
      <c r="AM223" s="1" t="str">
        <v>Branch Finance Committee</v>
      </c>
    </row>
    <row r="224" spans="1:39" x14ac:dyDescent="0.2">
      <c r="A224" s="1">
        <v>0</v>
      </c>
      <c r="B224" s="1">
        <v>1172</v>
      </c>
      <c r="D224" s="1" t="s">
        <v>348</v>
      </c>
      <c r="E224" s="1" t="s">
        <v>831</v>
      </c>
      <c r="G224" s="1" t="s">
        <v>696</v>
      </c>
      <c r="I224" s="1" t="s">
        <v>658</v>
      </c>
      <c r="J224" s="1" t="s">
        <v>697</v>
      </c>
      <c r="K224" s="31">
        <v>46285</v>
      </c>
      <c r="L224" s="31">
        <v>46285</v>
      </c>
      <c r="P224" s="1" t="s">
        <v>379</v>
      </c>
      <c r="Q224" s="1" t="s">
        <v>379</v>
      </c>
      <c r="U224" s="1" t="s">
        <v>381</v>
      </c>
      <c r="X224" s="1">
        <v>12</v>
      </c>
      <c r="Y224" s="1" t="b">
        <v>1</v>
      </c>
      <c r="AA224" s="1" t="s">
        <v>6</v>
      </c>
      <c r="AC224" s="1">
        <v>1172</v>
      </c>
      <c r="AD224" s="31">
        <v>46219</v>
      </c>
      <c r="AE224" s="31">
        <v>46219</v>
      </c>
      <c r="AF224" s="1">
        <v>102</v>
      </c>
      <c r="AG224" s="1">
        <v>102</v>
      </c>
      <c r="AH224" s="1" t="s">
        <v>660</v>
      </c>
      <c r="AI224" s="1" t="b">
        <v>0</v>
      </c>
      <c r="AJ224" s="1" t="s">
        <v>832</v>
      </c>
      <c r="AK224" s="1" t="str">
        <f>IF(ISBLANK(SharePointTasks[[#This Row],[Operational ActionId]]), SharePointTasks[[#This Row],[Title]], SharePointTasks[[#This Row],[Title]] &amp; " (" &amp; VLOOKUP(SharePointTasks[[#This Row],[Operational ActionId]], Operational_Actions[], 6, FALSE) &amp; ")")</f>
        <v>Training modules for flexible volunteering trial updated to reflect Achievement Pathways changes (Achievement Pathways Improvements (2026))</v>
      </c>
      <c r="AM224" s="1" t="str">
        <v>Training modules for flexible volunteering trial updated to reflect Achievement Pathways changes (Achievement Pathways Improvements (2026))</v>
      </c>
    </row>
    <row r="225" spans="1:39" x14ac:dyDescent="0.2">
      <c r="A225" s="1">
        <v>0</v>
      </c>
      <c r="B225" s="1">
        <v>946</v>
      </c>
      <c r="D225" s="1" t="s">
        <v>348</v>
      </c>
      <c r="E225" s="1" t="s">
        <v>418</v>
      </c>
      <c r="F225" s="1" t="s">
        <v>419</v>
      </c>
      <c r="G225" s="1" t="s">
        <v>378</v>
      </c>
      <c r="J225" s="1" t="s">
        <v>87</v>
      </c>
      <c r="K225" s="31">
        <v>46286</v>
      </c>
      <c r="L225" s="31">
        <v>46286</v>
      </c>
      <c r="P225" s="1" t="s">
        <v>379</v>
      </c>
      <c r="Q225" s="1" t="s">
        <v>379</v>
      </c>
      <c r="T225" s="1">
        <v>5736</v>
      </c>
      <c r="U225" s="1" t="s">
        <v>381</v>
      </c>
      <c r="AA225" s="1" t="s">
        <v>5</v>
      </c>
      <c r="AC225" s="1">
        <v>946</v>
      </c>
      <c r="AD225" s="31">
        <v>46221</v>
      </c>
      <c r="AE225" s="31">
        <v>46161</v>
      </c>
      <c r="AF225" s="1">
        <v>102</v>
      </c>
      <c r="AG225" s="1">
        <v>102</v>
      </c>
      <c r="AH225" s="1" t="s">
        <v>519</v>
      </c>
      <c r="AI225" s="1" t="b">
        <v>0</v>
      </c>
      <c r="AJ225" s="1" t="s">
        <v>834</v>
      </c>
      <c r="AK225" s="1" t="str">
        <f>IF(ISBLANK(SharePointTasks[[#This Row],[Operational ActionId]]), SharePointTasks[[#This Row],[Title]], SharePointTasks[[#This Row],[Title]] &amp; " (" &amp; VLOOKUP(SharePointTasks[[#This Row],[Operational ActionId]], Operational_Actions[], 6, FALSE) &amp; ")")</f>
        <v>Branch Executive Committee</v>
      </c>
      <c r="AM225" s="1" t="str">
        <v>Branch Executive Committee</v>
      </c>
    </row>
    <row r="226" spans="1:39" x14ac:dyDescent="0.2">
      <c r="A226" s="1">
        <v>0</v>
      </c>
      <c r="B226" s="1">
        <v>1173</v>
      </c>
      <c r="D226" s="1" t="s">
        <v>348</v>
      </c>
      <c r="E226" s="1" t="s">
        <v>838</v>
      </c>
      <c r="G226" s="1" t="s">
        <v>696</v>
      </c>
      <c r="I226" s="1" t="s">
        <v>658</v>
      </c>
      <c r="J226" s="1" t="s">
        <v>697</v>
      </c>
      <c r="K226" s="31">
        <v>46287</v>
      </c>
      <c r="L226" s="31">
        <v>46287</v>
      </c>
      <c r="P226" s="1" t="s">
        <v>379</v>
      </c>
      <c r="Q226" s="1" t="s">
        <v>379</v>
      </c>
      <c r="U226" s="1" t="s">
        <v>381</v>
      </c>
      <c r="X226" s="1">
        <v>12</v>
      </c>
      <c r="Y226" s="1" t="b">
        <v>1</v>
      </c>
      <c r="AA226" s="1" t="s">
        <v>7</v>
      </c>
      <c r="AC226" s="1">
        <v>1173</v>
      </c>
      <c r="AD226" s="31">
        <v>46219</v>
      </c>
      <c r="AE226" s="31">
        <v>46219</v>
      </c>
      <c r="AF226" s="1">
        <v>102</v>
      </c>
      <c r="AG226" s="1">
        <v>102</v>
      </c>
      <c r="AH226" s="1" t="s">
        <v>660</v>
      </c>
      <c r="AI226" s="1" t="b">
        <v>0</v>
      </c>
      <c r="AJ226" s="1" t="s">
        <v>839</v>
      </c>
      <c r="AK226" s="1" t="str">
        <f>IF(ISBLANK(SharePointTasks[[#This Row],[Operational ActionId]]), SharePointTasks[[#This Row],[Title]], SharePointTasks[[#This Row],[Title]] &amp; " (" &amp; VLOOKUP(SharePointTasks[[#This Row],[Operational ActionId]], Operational_Actions[], 6, FALSE) &amp; ")")</f>
        <v>EDM with announcement of improvements and information for webinars (Achievement Pathways Improvements (2026))</v>
      </c>
      <c r="AM226" s="1" t="str">
        <v>EDM with announcement of improvements and information for webinars (Achievement Pathways Improvements (2026))</v>
      </c>
    </row>
    <row r="227" spans="1:39" x14ac:dyDescent="0.2">
      <c r="A227" s="1">
        <v>0</v>
      </c>
      <c r="B227" s="1">
        <v>1174</v>
      </c>
      <c r="D227" s="1" t="s">
        <v>348</v>
      </c>
      <c r="E227" s="1" t="s">
        <v>841</v>
      </c>
      <c r="G227" s="1" t="s">
        <v>696</v>
      </c>
      <c r="I227" s="1" t="s">
        <v>658</v>
      </c>
      <c r="J227" s="1" t="s">
        <v>697</v>
      </c>
      <c r="K227" s="31">
        <v>46287</v>
      </c>
      <c r="L227" s="31">
        <v>46287</v>
      </c>
      <c r="P227" s="1" t="s">
        <v>379</v>
      </c>
      <c r="Q227" s="1" t="s">
        <v>379</v>
      </c>
      <c r="U227" s="1" t="s">
        <v>381</v>
      </c>
      <c r="X227" s="1">
        <v>12</v>
      </c>
      <c r="Y227" s="1" t="b">
        <v>1</v>
      </c>
      <c r="AA227" s="1" t="s">
        <v>7</v>
      </c>
      <c r="AC227" s="1">
        <v>1174</v>
      </c>
      <c r="AD227" s="31">
        <v>46219</v>
      </c>
      <c r="AE227" s="31">
        <v>46219</v>
      </c>
      <c r="AF227" s="1">
        <v>102</v>
      </c>
      <c r="AG227" s="1">
        <v>102</v>
      </c>
      <c r="AH227" s="1" t="s">
        <v>660</v>
      </c>
      <c r="AI227" s="1" t="b">
        <v>0</v>
      </c>
      <c r="AJ227" s="1" t="s">
        <v>842</v>
      </c>
      <c r="AK227" s="1" t="str">
        <f>IF(ISBLANK(SharePointTasks[[#This Row],[Operational ActionId]]), SharePointTasks[[#This Row],[Title]], SharePointTasks[[#This Row],[Title]] &amp; " (" &amp; VLOOKUP(SharePointTasks[[#This Row],[Operational ActionId]], Operational_Actions[], 6, FALSE) &amp; ")")</f>
        <v>Announcement video posted on social media (ask Branches to share the post) (Achievement Pathways Improvements (2026))</v>
      </c>
      <c r="AM227" s="1" t="str">
        <v>Announcement video posted on social media (ask Branches to share the post) (Achievement Pathways Improvements (2026))</v>
      </c>
    </row>
    <row r="228" spans="1:39" x14ac:dyDescent="0.2">
      <c r="A228" s="1">
        <v>0</v>
      </c>
      <c r="B228" s="1">
        <v>1175</v>
      </c>
      <c r="D228" s="1" t="s">
        <v>348</v>
      </c>
      <c r="E228" s="1" t="s">
        <v>835</v>
      </c>
      <c r="G228" s="1" t="s">
        <v>696</v>
      </c>
      <c r="I228" s="1" t="s">
        <v>658</v>
      </c>
      <c r="J228" s="1" t="s">
        <v>697</v>
      </c>
      <c r="K228" s="31">
        <v>46287</v>
      </c>
      <c r="L228" s="31">
        <v>46287</v>
      </c>
      <c r="P228" s="1" t="s">
        <v>379</v>
      </c>
      <c r="Q228" s="1" t="s">
        <v>379</v>
      </c>
      <c r="U228" s="1" t="s">
        <v>381</v>
      </c>
      <c r="X228" s="1">
        <v>12</v>
      </c>
      <c r="Y228" s="1" t="b">
        <v>1</v>
      </c>
      <c r="AA228" s="1" t="s">
        <v>6</v>
      </c>
      <c r="AC228" s="1">
        <v>1175</v>
      </c>
      <c r="AD228" s="31">
        <v>46219</v>
      </c>
      <c r="AE228" s="31">
        <v>46219</v>
      </c>
      <c r="AF228" s="1">
        <v>102</v>
      </c>
      <c r="AG228" s="1">
        <v>102</v>
      </c>
      <c r="AH228" s="1" t="s">
        <v>660</v>
      </c>
      <c r="AI228" s="1" t="b">
        <v>0</v>
      </c>
      <c r="AJ228" s="1" t="s">
        <v>836</v>
      </c>
      <c r="AK228" s="1" t="str">
        <f>IF(ISBLANK(SharePointTasks[[#This Row],[Operational ActionId]]), SharePointTasks[[#This Row],[Title]], SharePointTasks[[#This Row],[Title]] &amp; " (" &amp; VLOOKUP(SharePointTasks[[#This Row],[Operational ActionId]], Operational_Actions[], 6, FALSE) &amp; ")")</f>
        <v>Zoho knowledge base launched / pr.scouts.com.au retired and redirecting to Zoho (Achievement Pathways Improvements (2026))</v>
      </c>
      <c r="AM228" s="1" t="str">
        <v>Zoho knowledge base launched / pr.scouts.com.au retired and redirecting to Zoho (Achievement Pathways Improvements (2026))</v>
      </c>
    </row>
    <row r="229" spans="1:39" x14ac:dyDescent="0.2">
      <c r="A229" s="1">
        <v>0</v>
      </c>
      <c r="B229" s="1">
        <v>1004</v>
      </c>
      <c r="D229" s="1" t="s">
        <v>348</v>
      </c>
      <c r="E229" s="1" t="s">
        <v>844</v>
      </c>
      <c r="F229" s="1" t="s">
        <v>845</v>
      </c>
      <c r="G229" s="1" t="s">
        <v>378</v>
      </c>
      <c r="J229" s="1" t="s">
        <v>87</v>
      </c>
      <c r="K229" s="31">
        <v>46289</v>
      </c>
      <c r="L229" s="31">
        <v>46291</v>
      </c>
      <c r="P229" s="1" t="s">
        <v>379</v>
      </c>
      <c r="Q229" s="1" t="s">
        <v>379</v>
      </c>
      <c r="T229" s="1">
        <v>6410</v>
      </c>
      <c r="U229" s="1" t="s">
        <v>381</v>
      </c>
      <c r="AA229" s="1" t="s">
        <v>5</v>
      </c>
      <c r="AC229" s="1">
        <v>1004</v>
      </c>
      <c r="AD229" s="31">
        <v>46221</v>
      </c>
      <c r="AE229" s="31">
        <v>46161</v>
      </c>
      <c r="AF229" s="1">
        <v>102</v>
      </c>
      <c r="AG229" s="1">
        <v>102</v>
      </c>
      <c r="AH229" s="1" t="s">
        <v>519</v>
      </c>
      <c r="AI229" s="1" t="b">
        <v>0</v>
      </c>
      <c r="AJ229" s="1" t="s">
        <v>846</v>
      </c>
      <c r="AK229" s="1" t="str">
        <f>IF(ISBLANK(SharePointTasks[[#This Row],[Operational ActionId]]), SharePointTasks[[#This Row],[Title]], SharePointTasks[[#This Row],[Title]] &amp; " (" &amp; VLOOKUP(SharePointTasks[[#This Row],[Operational ActionId]], Operational_Actions[], 6, FALSE) &amp; ")")</f>
        <v>Amateur Radio Foundation Licensing Course</v>
      </c>
      <c r="AM229" s="1" t="str">
        <v>Amateur Radio Foundation Licensing Course</v>
      </c>
    </row>
    <row r="230" spans="1:39" x14ac:dyDescent="0.2">
      <c r="A230" s="1">
        <v>0</v>
      </c>
      <c r="B230" s="1">
        <v>1119</v>
      </c>
      <c r="D230" s="1" t="s">
        <v>348</v>
      </c>
      <c r="E230" s="1" t="s">
        <v>847</v>
      </c>
      <c r="F230" s="1" t="s">
        <v>848</v>
      </c>
      <c r="G230" s="1" t="s">
        <v>378</v>
      </c>
      <c r="J230" s="1" t="s">
        <v>87</v>
      </c>
      <c r="K230" s="31">
        <v>46291</v>
      </c>
      <c r="L230" s="31">
        <v>46297</v>
      </c>
      <c r="P230" s="1" t="s">
        <v>379</v>
      </c>
      <c r="Q230" s="1" t="s">
        <v>379</v>
      </c>
      <c r="S230" s="1" t="s">
        <v>380</v>
      </c>
      <c r="T230" s="1">
        <v>7598</v>
      </c>
      <c r="U230" s="1" t="s">
        <v>381</v>
      </c>
      <c r="AA230" s="1" t="s">
        <v>5</v>
      </c>
      <c r="AC230" s="1">
        <v>1119</v>
      </c>
      <c r="AD230" s="31">
        <v>46221</v>
      </c>
      <c r="AE230" s="31">
        <v>46161</v>
      </c>
      <c r="AF230" s="1">
        <v>102</v>
      </c>
      <c r="AG230" s="1">
        <v>102</v>
      </c>
      <c r="AH230" s="1" t="s">
        <v>519</v>
      </c>
      <c r="AI230" s="1" t="b">
        <v>0</v>
      </c>
      <c r="AJ230" s="1" t="s">
        <v>849</v>
      </c>
      <c r="AK230" s="1" t="str">
        <f>IF(ISBLANK(SharePointTasks[[#This Row],[Operational ActionId]]), SharePointTasks[[#This Row],[Title]], SharePointTasks[[#This Row],[Title]] &amp; " (" &amp; VLOOKUP(SharePointTasks[[#This Row],[Operational ActionId]], Operational_Actions[], 6, FALSE) &amp; ")")</f>
        <v>Paddling - Sea Kayaking School (Yeppoon)</v>
      </c>
      <c r="AM230" s="1" t="str">
        <v>Paddling - Sea Kayaking School (Yeppoon)</v>
      </c>
    </row>
    <row r="231" spans="1:39" x14ac:dyDescent="0.2">
      <c r="A231" s="1">
        <v>0</v>
      </c>
      <c r="B231" s="1">
        <v>1176</v>
      </c>
      <c r="D231" s="1" t="s">
        <v>348</v>
      </c>
      <c r="E231" s="1" t="s">
        <v>850</v>
      </c>
      <c r="G231" s="1" t="s">
        <v>696</v>
      </c>
      <c r="I231" s="1" t="s">
        <v>658</v>
      </c>
      <c r="J231" s="1" t="s">
        <v>697</v>
      </c>
      <c r="K231" s="31">
        <v>46294</v>
      </c>
      <c r="L231" s="31">
        <v>46294</v>
      </c>
      <c r="P231" s="1" t="s">
        <v>379</v>
      </c>
      <c r="Q231" s="1" t="s">
        <v>379</v>
      </c>
      <c r="U231" s="1" t="s">
        <v>381</v>
      </c>
      <c r="X231" s="1">
        <v>12</v>
      </c>
      <c r="Y231" s="1" t="b">
        <v>1</v>
      </c>
      <c r="AA231" s="1" t="s">
        <v>7</v>
      </c>
      <c r="AC231" s="1">
        <v>1176</v>
      </c>
      <c r="AD231" s="31">
        <v>46219</v>
      </c>
      <c r="AE231" s="31">
        <v>46219</v>
      </c>
      <c r="AF231" s="1">
        <v>102</v>
      </c>
      <c r="AG231" s="1">
        <v>102</v>
      </c>
      <c r="AH231" s="1" t="s">
        <v>660</v>
      </c>
      <c r="AI231" s="1" t="b">
        <v>0</v>
      </c>
      <c r="AJ231" s="1" t="s">
        <v>851</v>
      </c>
      <c r="AK231" s="1" t="str">
        <f>IF(ISBLANK(SharePointTasks[[#This Row],[Operational ActionId]]), SharePointTasks[[#This Row],[Title]], SharePointTasks[[#This Row],[Title]] &amp; " (" &amp; VLOOKUP(SharePointTasks[[#This Row],[Operational ActionId]], Operational_Actions[], 6, FALSE) &amp; ")")</f>
        <v>National News article with further info about improvements and webinars (Achievement Pathways Improvements (2026))</v>
      </c>
      <c r="AM231" s="1" t="str">
        <v>National News article with further info about improvements and webinars (Achievement Pathways Improvements (2026))</v>
      </c>
    </row>
    <row r="232" spans="1:39" x14ac:dyDescent="0.2">
      <c r="A232" s="1">
        <v>0</v>
      </c>
      <c r="B232" s="1">
        <v>1177</v>
      </c>
      <c r="D232" s="1" t="s">
        <v>348</v>
      </c>
      <c r="E232" s="1" t="s">
        <v>856</v>
      </c>
      <c r="F232" s="1" t="s">
        <v>857</v>
      </c>
      <c r="G232" s="1" t="s">
        <v>696</v>
      </c>
      <c r="I232" s="1" t="s">
        <v>658</v>
      </c>
      <c r="J232" s="1" t="s">
        <v>697</v>
      </c>
      <c r="K232" s="31">
        <v>46295</v>
      </c>
      <c r="L232" s="31">
        <v>46310</v>
      </c>
      <c r="P232" s="1" t="s">
        <v>379</v>
      </c>
      <c r="Q232" s="1" t="s">
        <v>379</v>
      </c>
      <c r="U232" s="1" t="s">
        <v>381</v>
      </c>
      <c r="X232" s="1">
        <v>12</v>
      </c>
      <c r="Y232" s="1" t="b">
        <v>1</v>
      </c>
      <c r="AA232" s="1" t="s">
        <v>4</v>
      </c>
      <c r="AC232" s="1">
        <v>1177</v>
      </c>
      <c r="AD232" s="31">
        <v>46219</v>
      </c>
      <c r="AE232" s="31">
        <v>46219</v>
      </c>
      <c r="AF232" s="1">
        <v>102</v>
      </c>
      <c r="AG232" s="1">
        <v>102</v>
      </c>
      <c r="AH232" s="1" t="s">
        <v>660</v>
      </c>
      <c r="AI232" s="1" t="b">
        <v>0</v>
      </c>
      <c r="AJ232" s="1" t="s">
        <v>858</v>
      </c>
      <c r="AK232" s="1" t="str">
        <f>IF(ISBLANK(SharePointTasks[[#This Row],[Operational ActionId]]), SharePointTasks[[#This Row],[Title]], SharePointTasks[[#This Row],[Title]] &amp; " (" &amp; VLOOKUP(SharePointTasks[[#This Row],[Operational ActionId]], Operational_Actions[], 6, FALSE) &amp; ")")</f>
        <v>Achievement Pathways webinars for Youth Program Leaders and Unit Councils (4 webinars + publish recording afterwards) (Achievement Pathways Improvements (2026))</v>
      </c>
      <c r="AM232" s="1" t="str">
        <v>Achievement Pathways webinars for Youth Program Leaders and Unit Councils (4 webinars + publish recording afterwards) (Achievement Pathways Improvements (2026))</v>
      </c>
    </row>
    <row r="233" spans="1:39" x14ac:dyDescent="0.2">
      <c r="A233" s="1">
        <v>0</v>
      </c>
      <c r="B233" s="1">
        <v>1178</v>
      </c>
      <c r="D233" s="1" t="s">
        <v>348</v>
      </c>
      <c r="E233" s="1" t="s">
        <v>853</v>
      </c>
      <c r="G233" s="1" t="s">
        <v>696</v>
      </c>
      <c r="I233" s="1" t="s">
        <v>658</v>
      </c>
      <c r="J233" s="1" t="s">
        <v>697</v>
      </c>
      <c r="K233" s="31">
        <v>46295</v>
      </c>
      <c r="L233" s="31">
        <v>46324</v>
      </c>
      <c r="P233" s="1" t="s">
        <v>379</v>
      </c>
      <c r="Q233" s="1" t="s">
        <v>379</v>
      </c>
      <c r="U233" s="1" t="s">
        <v>381</v>
      </c>
      <c r="X233" s="1">
        <v>12</v>
      </c>
      <c r="Y233" s="1" t="b">
        <v>1</v>
      </c>
      <c r="AA233" s="1" t="s">
        <v>7</v>
      </c>
      <c r="AC233" s="1">
        <v>1178</v>
      </c>
      <c r="AD233" s="31">
        <v>46219</v>
      </c>
      <c r="AE233" s="31">
        <v>46219</v>
      </c>
      <c r="AF233" s="1">
        <v>102</v>
      </c>
      <c r="AG233" s="1">
        <v>102</v>
      </c>
      <c r="AH233" s="1" t="s">
        <v>660</v>
      </c>
      <c r="AI233" s="1" t="b">
        <v>0</v>
      </c>
      <c r="AJ233" s="1" t="s">
        <v>854</v>
      </c>
      <c r="AK233" s="1" t="str">
        <f>IF(ISBLANK(SharePointTasks[[#This Row],[Operational ActionId]]), SharePointTasks[[#This Row],[Title]], SharePointTasks[[#This Row],[Title]] &amp; " (" &amp; VLOOKUP(SharePointTasks[[#This Row],[Operational ActionId]], Operational_Actions[], 6, FALSE) &amp; ")")</f>
        <v>Social media campaign to support awareness of improvements and webinars (Achievement Pathways Improvements (2026))</v>
      </c>
      <c r="AM233" s="1" t="str">
        <v>Social media campaign to support awareness of improvements and webinars (Achievement Pathways Improvements (2026))</v>
      </c>
    </row>
    <row r="234" spans="1:39" x14ac:dyDescent="0.2">
      <c r="A234" s="1">
        <v>0</v>
      </c>
      <c r="B234" s="1">
        <v>1121</v>
      </c>
      <c r="D234" s="1" t="s">
        <v>348</v>
      </c>
      <c r="E234" s="1" t="s">
        <v>431</v>
      </c>
      <c r="F234" s="1" t="s">
        <v>432</v>
      </c>
      <c r="G234" s="1" t="s">
        <v>378</v>
      </c>
      <c r="J234" s="1" t="s">
        <v>87</v>
      </c>
      <c r="K234" s="31">
        <v>46296</v>
      </c>
      <c r="L234" s="31">
        <v>46298</v>
      </c>
      <c r="P234" s="1" t="s">
        <v>379</v>
      </c>
      <c r="Q234" s="1" t="s">
        <v>379</v>
      </c>
      <c r="S234" s="1" t="s">
        <v>380</v>
      </c>
      <c r="T234" s="1">
        <v>7600</v>
      </c>
      <c r="U234" s="1" t="s">
        <v>381</v>
      </c>
      <c r="AA234" s="1" t="s">
        <v>5</v>
      </c>
      <c r="AC234" s="1">
        <v>1121</v>
      </c>
      <c r="AD234" s="31">
        <v>46221</v>
      </c>
      <c r="AE234" s="31">
        <v>46161</v>
      </c>
      <c r="AF234" s="1">
        <v>102</v>
      </c>
      <c r="AG234" s="1">
        <v>102</v>
      </c>
      <c r="AH234" s="1" t="s">
        <v>519</v>
      </c>
      <c r="AI234" s="1" t="b">
        <v>0</v>
      </c>
      <c r="AJ234" s="1" t="s">
        <v>860</v>
      </c>
      <c r="AK234" s="1" t="str">
        <f>IF(ISBLANK(SharePointTasks[[#This Row],[Operational ActionId]]), SharePointTasks[[#This Row],[Title]], SharePointTasks[[#This Row],[Title]] &amp; " (" &amp; VLOOKUP(SharePointTasks[[#This Row],[Operational ActionId]], Operational_Actions[], 6, FALSE) &amp; ")")</f>
        <v>Scouting Adventure (Brisbane)</v>
      </c>
      <c r="AM234" s="1" t="str">
        <v>Scouting Adventure (Brisbane)</v>
      </c>
    </row>
    <row r="235" spans="1:39" x14ac:dyDescent="0.2">
      <c r="A235" s="1">
        <v>0</v>
      </c>
      <c r="B235" s="1">
        <v>1122</v>
      </c>
      <c r="D235" s="1" t="s">
        <v>348</v>
      </c>
      <c r="E235" s="1" t="s">
        <v>389</v>
      </c>
      <c r="F235" s="1" t="s">
        <v>434</v>
      </c>
      <c r="G235" s="1" t="s">
        <v>378</v>
      </c>
      <c r="J235" s="1" t="s">
        <v>87</v>
      </c>
      <c r="K235" s="31">
        <v>46296</v>
      </c>
      <c r="L235" s="31">
        <v>46298</v>
      </c>
      <c r="P235" s="1" t="s">
        <v>379</v>
      </c>
      <c r="Q235" s="1" t="s">
        <v>379</v>
      </c>
      <c r="S235" s="1" t="s">
        <v>380</v>
      </c>
      <c r="T235" s="1">
        <v>7601</v>
      </c>
      <c r="U235" s="1" t="s">
        <v>381</v>
      </c>
      <c r="AA235" s="1" t="s">
        <v>5</v>
      </c>
      <c r="AC235" s="1">
        <v>1122</v>
      </c>
      <c r="AD235" s="31">
        <v>46221</v>
      </c>
      <c r="AE235" s="31">
        <v>46161</v>
      </c>
      <c r="AF235" s="1">
        <v>102</v>
      </c>
      <c r="AG235" s="1">
        <v>102</v>
      </c>
      <c r="AH235" s="1" t="s">
        <v>519</v>
      </c>
      <c r="AI235" s="1" t="b">
        <v>0</v>
      </c>
      <c r="AJ235" s="1" t="s">
        <v>861</v>
      </c>
      <c r="AK235" s="1" t="str">
        <f>IF(ISBLANK(SharePointTasks[[#This Row],[Operational ActionId]]), SharePointTasks[[#This Row],[Title]], SharePointTasks[[#This Row],[Title]] &amp; " (" &amp; VLOOKUP(SharePointTasks[[#This Row],[Operational ActionId]], Operational_Actions[], 6, FALSE) &amp; ")")</f>
        <v>Scouting Essentials (Brisbane)</v>
      </c>
      <c r="AM235" s="1" t="str">
        <v>Scouting Essentials (Brisbane)</v>
      </c>
    </row>
    <row r="236" spans="1:39" x14ac:dyDescent="0.2">
      <c r="A236" s="1">
        <v>0</v>
      </c>
      <c r="B236" s="1">
        <v>1036</v>
      </c>
      <c r="D236" s="1" t="s">
        <v>348</v>
      </c>
      <c r="E236" s="1" t="s">
        <v>548</v>
      </c>
      <c r="F236" s="1" t="s">
        <v>549</v>
      </c>
      <c r="G236" s="1" t="s">
        <v>378</v>
      </c>
      <c r="J236" s="1" t="s">
        <v>87</v>
      </c>
      <c r="K236" s="31">
        <v>46298</v>
      </c>
      <c r="L236" s="31">
        <v>46359</v>
      </c>
      <c r="P236" s="1" t="s">
        <v>379</v>
      </c>
      <c r="Q236" s="1" t="s">
        <v>379</v>
      </c>
      <c r="S236" s="1" t="s">
        <v>380</v>
      </c>
      <c r="T236" s="1">
        <v>7366</v>
      </c>
      <c r="U236" s="1" t="s">
        <v>381</v>
      </c>
      <c r="AA236" s="1" t="s">
        <v>5</v>
      </c>
      <c r="AC236" s="1">
        <v>1036</v>
      </c>
      <c r="AD236" s="31">
        <v>46221</v>
      </c>
      <c r="AE236" s="31">
        <v>46161</v>
      </c>
      <c r="AF236" s="1">
        <v>102</v>
      </c>
      <c r="AG236" s="1">
        <v>102</v>
      </c>
      <c r="AH236" s="1" t="s">
        <v>519</v>
      </c>
      <c r="AI236" s="1" t="b">
        <v>0</v>
      </c>
      <c r="AJ236" s="1" t="s">
        <v>862</v>
      </c>
      <c r="AK236" s="1" t="str">
        <f>IF(ISBLANK(SharePointTasks[[#This Row],[Operational ActionId]]), SharePointTasks[[#This Row],[Title]], SharePointTasks[[#This Row],[Title]] &amp; " (" &amp; VLOOKUP(SharePointTasks[[#This Row],[Operational ActionId]], Operational_Actions[], 6, FALSE) &amp; ")")</f>
        <v>Scouting Essentials (Bundaberg)</v>
      </c>
      <c r="AM236" s="1" t="str">
        <v>Scouting Essentials (Bundaberg)</v>
      </c>
    </row>
    <row r="237" spans="1:39" x14ac:dyDescent="0.2">
      <c r="A237" s="1">
        <v>0</v>
      </c>
      <c r="B237" s="1">
        <v>922</v>
      </c>
      <c r="D237" s="1" t="s">
        <v>348</v>
      </c>
      <c r="E237" s="1" t="s">
        <v>866</v>
      </c>
      <c r="F237" s="1" t="s">
        <v>416</v>
      </c>
      <c r="G237" s="1" t="s">
        <v>378</v>
      </c>
      <c r="J237" s="1" t="s">
        <v>87</v>
      </c>
      <c r="K237" s="31">
        <v>46299</v>
      </c>
      <c r="L237" s="31">
        <v>46299</v>
      </c>
      <c r="P237" s="1" t="s">
        <v>379</v>
      </c>
      <c r="Q237" s="1" t="s">
        <v>379</v>
      </c>
      <c r="T237" s="1">
        <v>5711</v>
      </c>
      <c r="U237" s="1" t="s">
        <v>381</v>
      </c>
      <c r="Y237" s="1" t="b">
        <v>1</v>
      </c>
      <c r="AA237" s="1" t="s">
        <v>94</v>
      </c>
      <c r="AC237" s="1">
        <v>922</v>
      </c>
      <c r="AD237" s="31">
        <v>46225</v>
      </c>
      <c r="AE237" s="31">
        <v>46161</v>
      </c>
      <c r="AF237" s="1">
        <v>102</v>
      </c>
      <c r="AG237" s="1">
        <v>102</v>
      </c>
      <c r="AH237" s="1" t="s">
        <v>414</v>
      </c>
      <c r="AI237" s="1" t="b">
        <v>0</v>
      </c>
      <c r="AJ237" s="1" t="s">
        <v>867</v>
      </c>
      <c r="AK237" s="1" t="str">
        <f>IF(ISBLANK(SharePointTasks[[#This Row],[Operational ActionId]]), SharePointTasks[[#This Row],[Title]], SharePointTasks[[#This Row],[Title]] &amp; " (" &amp; VLOOKUP(SharePointTasks[[#This Row],[Operational ActionId]], Operational_Actions[], 6, FALSE) &amp; ")")</f>
        <v>King's Birthday Public Holiday</v>
      </c>
      <c r="AM237" s="1" t="str">
        <v>King's Birthday Public Holiday</v>
      </c>
    </row>
    <row r="238" spans="1:39" x14ac:dyDescent="0.2">
      <c r="A238" s="1">
        <v>0</v>
      </c>
      <c r="B238" s="1">
        <v>1179</v>
      </c>
      <c r="D238" s="1" t="s">
        <v>348</v>
      </c>
      <c r="E238" s="1" t="s">
        <v>863</v>
      </c>
      <c r="G238" s="1" t="s">
        <v>696</v>
      </c>
      <c r="I238" s="1" t="s">
        <v>658</v>
      </c>
      <c r="J238" s="1" t="s">
        <v>697</v>
      </c>
      <c r="K238" s="31">
        <v>46299</v>
      </c>
      <c r="L238" s="31">
        <v>46299</v>
      </c>
      <c r="P238" s="1" t="s">
        <v>379</v>
      </c>
      <c r="Q238" s="1" t="s">
        <v>379</v>
      </c>
      <c r="U238" s="1" t="s">
        <v>381</v>
      </c>
      <c r="X238" s="1">
        <v>12</v>
      </c>
      <c r="Y238" s="1" t="b">
        <v>1</v>
      </c>
      <c r="AA238" s="1" t="s">
        <v>4</v>
      </c>
      <c r="AC238" s="1">
        <v>1179</v>
      </c>
      <c r="AD238" s="31">
        <v>46219</v>
      </c>
      <c r="AE238" s="31">
        <v>46219</v>
      </c>
      <c r="AF238" s="1">
        <v>102</v>
      </c>
      <c r="AG238" s="1">
        <v>102</v>
      </c>
      <c r="AH238" s="1" t="s">
        <v>660</v>
      </c>
      <c r="AI238" s="1" t="b">
        <v>0</v>
      </c>
      <c r="AJ238" s="1" t="s">
        <v>864</v>
      </c>
      <c r="AK238" s="1" t="str">
        <f>IF(ISBLANK(SharePointTasks[[#This Row],[Operational ActionId]]), SharePointTasks[[#This Row],[Title]], SharePointTasks[[#This Row],[Title]] &amp; " (" &amp; VLOOKUP(SharePointTasks[[#This Row],[Operational ActionId]], Operational_Actions[], 6, FALSE) &amp; ")")</f>
        <v>Term 4 begins in all states/territories (Achievement Pathways Improvements (2026))</v>
      </c>
      <c r="AM238" s="1" t="str">
        <v>Term 4 begins in all states/territories (Achievement Pathways Improvements (2026))</v>
      </c>
    </row>
    <row r="239" spans="1:39" x14ac:dyDescent="0.2">
      <c r="A239" s="1">
        <v>0</v>
      </c>
      <c r="B239" s="1">
        <v>1021</v>
      </c>
      <c r="D239" s="1" t="s">
        <v>348</v>
      </c>
      <c r="E239" s="1" t="s">
        <v>389</v>
      </c>
      <c r="F239" s="1" t="s">
        <v>671</v>
      </c>
      <c r="G239" s="1" t="s">
        <v>378</v>
      </c>
      <c r="J239" s="1" t="s">
        <v>87</v>
      </c>
      <c r="K239" s="31">
        <v>46301</v>
      </c>
      <c r="L239" s="31">
        <v>46362</v>
      </c>
      <c r="P239" s="1" t="s">
        <v>379</v>
      </c>
      <c r="Q239" s="1" t="s">
        <v>379</v>
      </c>
      <c r="T239" s="1">
        <v>7229</v>
      </c>
      <c r="U239" s="1" t="s">
        <v>381</v>
      </c>
      <c r="AA239" s="1" t="s">
        <v>5</v>
      </c>
      <c r="AC239" s="1">
        <v>1021</v>
      </c>
      <c r="AD239" s="31">
        <v>46221</v>
      </c>
      <c r="AE239" s="31">
        <v>46161</v>
      </c>
      <c r="AF239" s="1">
        <v>102</v>
      </c>
      <c r="AG239" s="1">
        <v>102</v>
      </c>
      <c r="AH239" s="1" t="s">
        <v>519</v>
      </c>
      <c r="AI239" s="1" t="b">
        <v>0</v>
      </c>
      <c r="AJ239" s="1" t="s">
        <v>870</v>
      </c>
      <c r="AK239" s="1" t="str">
        <f>IF(ISBLANK(SharePointTasks[[#This Row],[Operational ActionId]]), SharePointTasks[[#This Row],[Title]], SharePointTasks[[#This Row],[Title]] &amp; " (" &amp; VLOOKUP(SharePointTasks[[#This Row],[Operational ActionId]], Operational_Actions[], 6, FALSE) &amp; ")")</f>
        <v>Scouting Essentials (Brisbane)</v>
      </c>
      <c r="AM239" s="1" t="str">
        <v>Scouting Essentials (Brisbane)</v>
      </c>
    </row>
    <row r="240" spans="1:39" x14ac:dyDescent="0.2">
      <c r="A240" s="1">
        <v>0</v>
      </c>
      <c r="B240" s="1">
        <v>1022</v>
      </c>
      <c r="D240" s="1" t="s">
        <v>348</v>
      </c>
      <c r="E240" s="1" t="s">
        <v>431</v>
      </c>
      <c r="F240" s="1" t="s">
        <v>669</v>
      </c>
      <c r="G240" s="1" t="s">
        <v>378</v>
      </c>
      <c r="J240" s="1" t="s">
        <v>87</v>
      </c>
      <c r="K240" s="31">
        <v>46301</v>
      </c>
      <c r="L240" s="31">
        <v>46362</v>
      </c>
      <c r="P240" s="1" t="s">
        <v>379</v>
      </c>
      <c r="Q240" s="1" t="s">
        <v>379</v>
      </c>
      <c r="T240" s="1">
        <v>7230</v>
      </c>
      <c r="U240" s="1" t="s">
        <v>381</v>
      </c>
      <c r="AA240" s="1" t="s">
        <v>5</v>
      </c>
      <c r="AC240" s="1">
        <v>1022</v>
      </c>
      <c r="AD240" s="31">
        <v>46221</v>
      </c>
      <c r="AE240" s="31">
        <v>46161</v>
      </c>
      <c r="AF240" s="1">
        <v>102</v>
      </c>
      <c r="AG240" s="1">
        <v>102</v>
      </c>
      <c r="AH240" s="1" t="s">
        <v>519</v>
      </c>
      <c r="AI240" s="1" t="b">
        <v>0</v>
      </c>
      <c r="AJ240" s="1" t="s">
        <v>871</v>
      </c>
      <c r="AK240" s="1" t="str">
        <f>IF(ISBLANK(SharePointTasks[[#This Row],[Operational ActionId]]), SharePointTasks[[#This Row],[Title]], SharePointTasks[[#This Row],[Title]] &amp; " (" &amp; VLOOKUP(SharePointTasks[[#This Row],[Operational ActionId]], Operational_Actions[], 6, FALSE) &amp; ")")</f>
        <v>Scouting Adventure (Brisbane)</v>
      </c>
      <c r="AM240" s="1" t="str">
        <v>Scouting Adventure (Brisbane)</v>
      </c>
    </row>
    <row r="241" spans="1:39" x14ac:dyDescent="0.2">
      <c r="A241" s="1">
        <v>0</v>
      </c>
      <c r="B241" s="1">
        <v>1044</v>
      </c>
      <c r="D241" s="1" t="s">
        <v>348</v>
      </c>
      <c r="E241" s="1" t="s">
        <v>389</v>
      </c>
      <c r="F241" s="1" t="s">
        <v>671</v>
      </c>
      <c r="G241" s="1" t="s">
        <v>378</v>
      </c>
      <c r="J241" s="1" t="s">
        <v>87</v>
      </c>
      <c r="K241" s="31">
        <v>46301</v>
      </c>
      <c r="L241" s="31">
        <v>46362</v>
      </c>
      <c r="P241" s="1" t="s">
        <v>379</v>
      </c>
      <c r="Q241" s="1" t="s">
        <v>379</v>
      </c>
      <c r="S241" s="1" t="s">
        <v>380</v>
      </c>
      <c r="T241" s="1">
        <v>7379</v>
      </c>
      <c r="U241" s="1" t="s">
        <v>381</v>
      </c>
      <c r="AA241" s="1" t="s">
        <v>5</v>
      </c>
      <c r="AC241" s="1">
        <v>1044</v>
      </c>
      <c r="AD241" s="31">
        <v>46221</v>
      </c>
      <c r="AE241" s="31">
        <v>46161</v>
      </c>
      <c r="AF241" s="1">
        <v>102</v>
      </c>
      <c r="AG241" s="1">
        <v>102</v>
      </c>
      <c r="AH241" s="1" t="s">
        <v>519</v>
      </c>
      <c r="AI241" s="1" t="b">
        <v>0</v>
      </c>
      <c r="AJ241" s="1" t="s">
        <v>869</v>
      </c>
      <c r="AK241" s="1" t="str">
        <f>IF(ISBLANK(SharePointTasks[[#This Row],[Operational ActionId]]), SharePointTasks[[#This Row],[Title]], SharePointTasks[[#This Row],[Title]] &amp; " (" &amp; VLOOKUP(SharePointTasks[[#This Row],[Operational ActionId]], Operational_Actions[], 6, FALSE) &amp; ")")</f>
        <v>Scouting Essentials (Brisbane)</v>
      </c>
      <c r="AM241" s="1" t="str">
        <v>Scouting Essentials (Brisbane)</v>
      </c>
    </row>
    <row r="242" spans="1:39" x14ac:dyDescent="0.2">
      <c r="A242" s="1">
        <v>0</v>
      </c>
      <c r="B242" s="1">
        <v>1045</v>
      </c>
      <c r="D242" s="1" t="s">
        <v>348</v>
      </c>
      <c r="E242" s="1" t="s">
        <v>431</v>
      </c>
      <c r="F242" s="1" t="s">
        <v>669</v>
      </c>
      <c r="G242" s="1" t="s">
        <v>378</v>
      </c>
      <c r="J242" s="1" t="s">
        <v>87</v>
      </c>
      <c r="K242" s="31">
        <v>46301</v>
      </c>
      <c r="L242" s="31">
        <v>46362</v>
      </c>
      <c r="P242" s="1" t="s">
        <v>379</v>
      </c>
      <c r="Q242" s="1" t="s">
        <v>379</v>
      </c>
      <c r="S242" s="1" t="s">
        <v>380</v>
      </c>
      <c r="T242" s="1">
        <v>7380</v>
      </c>
      <c r="U242" s="1" t="s">
        <v>381</v>
      </c>
      <c r="AA242" s="1" t="s">
        <v>5</v>
      </c>
      <c r="AC242" s="1">
        <v>1045</v>
      </c>
      <c r="AD242" s="31">
        <v>46221</v>
      </c>
      <c r="AE242" s="31">
        <v>46161</v>
      </c>
      <c r="AF242" s="1">
        <v>102</v>
      </c>
      <c r="AG242" s="1">
        <v>102</v>
      </c>
      <c r="AH242" s="1" t="s">
        <v>519</v>
      </c>
      <c r="AI242" s="1" t="b">
        <v>0</v>
      </c>
      <c r="AJ242" s="1" t="s">
        <v>868</v>
      </c>
      <c r="AK242" s="1" t="str">
        <f>IF(ISBLANK(SharePointTasks[[#This Row],[Operational ActionId]]), SharePointTasks[[#This Row],[Title]], SharePointTasks[[#This Row],[Title]] &amp; " (" &amp; VLOOKUP(SharePointTasks[[#This Row],[Operational ActionId]], Operational_Actions[], 6, FALSE) &amp; ")")</f>
        <v>Scouting Adventure (Brisbane)</v>
      </c>
      <c r="AM242" s="1" t="str">
        <v>Scouting Adventure (Brisbane)</v>
      </c>
    </row>
    <row r="243" spans="1:39" x14ac:dyDescent="0.2">
      <c r="A243" s="1">
        <v>0</v>
      </c>
      <c r="B243" s="1">
        <v>1120</v>
      </c>
      <c r="D243" s="1" t="s">
        <v>348</v>
      </c>
      <c r="E243" s="1" t="s">
        <v>560</v>
      </c>
      <c r="F243" s="1" t="s">
        <v>754</v>
      </c>
      <c r="G243" s="1" t="s">
        <v>378</v>
      </c>
      <c r="J243" s="1" t="s">
        <v>87</v>
      </c>
      <c r="K243" s="31">
        <v>46302</v>
      </c>
      <c r="L243" s="31">
        <v>46323</v>
      </c>
      <c r="P243" s="1" t="s">
        <v>379</v>
      </c>
      <c r="Q243" s="1" t="s">
        <v>379</v>
      </c>
      <c r="S243" s="1" t="s">
        <v>380</v>
      </c>
      <c r="T243" s="1">
        <v>7599</v>
      </c>
      <c r="U243" s="1" t="s">
        <v>381</v>
      </c>
      <c r="AA243" s="1" t="s">
        <v>5</v>
      </c>
      <c r="AC243" s="1">
        <v>1120</v>
      </c>
      <c r="AD243" s="31">
        <v>46221</v>
      </c>
      <c r="AE243" s="31">
        <v>46161</v>
      </c>
      <c r="AF243" s="1">
        <v>102</v>
      </c>
      <c r="AG243" s="1">
        <v>102</v>
      </c>
      <c r="AH243" s="1" t="s">
        <v>519</v>
      </c>
      <c r="AI243" s="1" t="b">
        <v>0</v>
      </c>
      <c r="AJ243" s="1" t="s">
        <v>872</v>
      </c>
      <c r="AK243" s="1" t="str">
        <f>IF(ISBLANK(SharePointTasks[[#This Row],[Operational ActionId]]), SharePointTasks[[#This Row],[Title]], SharePointTasks[[#This Row],[Title]] &amp; " (" &amp; VLOOKUP(SharePointTasks[[#This Row],[Operational ActionId]], Operational_Actions[], 6, FALSE) &amp; ")")</f>
        <v>Scouting Management - Commissioners and Advisors (Online)</v>
      </c>
      <c r="AM243" s="1" t="str">
        <v>Scouting Management - Commissioners and Advisors (Online)</v>
      </c>
    </row>
    <row r="244" spans="1:39" x14ac:dyDescent="0.2">
      <c r="A244" s="1">
        <v>0</v>
      </c>
      <c r="B244" s="1">
        <v>1123</v>
      </c>
      <c r="D244" s="1" t="s">
        <v>348</v>
      </c>
      <c r="E244" s="1" t="s">
        <v>812</v>
      </c>
      <c r="F244" s="1" t="s">
        <v>813</v>
      </c>
      <c r="G244" s="1" t="s">
        <v>378</v>
      </c>
      <c r="J244" s="1" t="s">
        <v>87</v>
      </c>
      <c r="K244" s="31">
        <v>46303</v>
      </c>
      <c r="L244" s="31">
        <v>46305</v>
      </c>
      <c r="P244" s="1" t="s">
        <v>379</v>
      </c>
      <c r="Q244" s="1" t="s">
        <v>379</v>
      </c>
      <c r="S244" s="1" t="s">
        <v>380</v>
      </c>
      <c r="T244" s="1">
        <v>7602</v>
      </c>
      <c r="U244" s="1" t="s">
        <v>381</v>
      </c>
      <c r="AA244" s="1" t="s">
        <v>5</v>
      </c>
      <c r="AC244" s="1">
        <v>1123</v>
      </c>
      <c r="AD244" s="31">
        <v>46221</v>
      </c>
      <c r="AE244" s="31">
        <v>46161</v>
      </c>
      <c r="AF244" s="1">
        <v>102</v>
      </c>
      <c r="AG244" s="1">
        <v>102</v>
      </c>
      <c r="AH244" s="1" t="s">
        <v>519</v>
      </c>
      <c r="AI244" s="1" t="b">
        <v>0</v>
      </c>
      <c r="AJ244" s="1" t="s">
        <v>874</v>
      </c>
      <c r="AK244" s="1" t="str">
        <f>IF(ISBLANK(SharePointTasks[[#This Row],[Operational ActionId]]), SharePointTasks[[#This Row],[Title]], SharePointTasks[[#This Row],[Title]] &amp; " (" &amp; VLOOKUP(SharePointTasks[[#This Row],[Operational ActionId]], Operational_Actions[], 6, FALSE) &amp; ")")</f>
        <v>Scouting Leadership (Emerald)</v>
      </c>
      <c r="AM244" s="1" t="str">
        <v>Scouting Leadership (Emerald)</v>
      </c>
    </row>
    <row r="245" spans="1:39" x14ac:dyDescent="0.2">
      <c r="A245" s="1">
        <v>0</v>
      </c>
      <c r="B245" s="1">
        <v>1124</v>
      </c>
      <c r="D245" s="1" t="s">
        <v>348</v>
      </c>
      <c r="E245" s="1" t="s">
        <v>815</v>
      </c>
      <c r="F245" s="1" t="s">
        <v>816</v>
      </c>
      <c r="G245" s="1" t="s">
        <v>378</v>
      </c>
      <c r="J245" s="1" t="s">
        <v>87</v>
      </c>
      <c r="K245" s="31">
        <v>46303</v>
      </c>
      <c r="L245" s="31">
        <v>46305</v>
      </c>
      <c r="P245" s="1" t="s">
        <v>379</v>
      </c>
      <c r="Q245" s="1" t="s">
        <v>379</v>
      </c>
      <c r="S245" s="1" t="s">
        <v>380</v>
      </c>
      <c r="T245" s="1">
        <v>7603</v>
      </c>
      <c r="U245" s="1" t="s">
        <v>381</v>
      </c>
      <c r="AA245" s="1" t="s">
        <v>5</v>
      </c>
      <c r="AC245" s="1">
        <v>1124</v>
      </c>
      <c r="AD245" s="31">
        <v>46221</v>
      </c>
      <c r="AE245" s="31">
        <v>46161</v>
      </c>
      <c r="AF245" s="1">
        <v>102</v>
      </c>
      <c r="AG245" s="1">
        <v>102</v>
      </c>
      <c r="AH245" s="1" t="s">
        <v>519</v>
      </c>
      <c r="AI245" s="1" t="b">
        <v>0</v>
      </c>
      <c r="AJ245" s="1" t="s">
        <v>873</v>
      </c>
      <c r="AK245" s="1" t="str">
        <f>IF(ISBLANK(SharePointTasks[[#This Row],[Operational ActionId]]), SharePointTasks[[#This Row],[Title]], SharePointTasks[[#This Row],[Title]] &amp; " (" &amp; VLOOKUP(SharePointTasks[[#This Row],[Operational ActionId]], Operational_Actions[], 6, FALSE) &amp; ")")</f>
        <v>Scouting Essentials (FNQ)</v>
      </c>
      <c r="AM245" s="1" t="str">
        <v>Scouting Essentials (FNQ)</v>
      </c>
    </row>
    <row r="246" spans="1:39" x14ac:dyDescent="0.2">
      <c r="A246" s="1">
        <v>0</v>
      </c>
      <c r="B246" s="1">
        <v>1033</v>
      </c>
      <c r="D246" s="1" t="s">
        <v>348</v>
      </c>
      <c r="E246" s="1" t="s">
        <v>875</v>
      </c>
      <c r="F246" s="1" t="s">
        <v>876</v>
      </c>
      <c r="G246" s="1" t="s">
        <v>378</v>
      </c>
      <c r="J246" s="1" t="s">
        <v>87</v>
      </c>
      <c r="K246" s="31">
        <v>46304</v>
      </c>
      <c r="L246" s="31">
        <v>46335</v>
      </c>
      <c r="P246" s="1" t="s">
        <v>379</v>
      </c>
      <c r="Q246" s="1" t="s">
        <v>379</v>
      </c>
      <c r="T246" s="1">
        <v>7251</v>
      </c>
      <c r="U246" s="1" t="s">
        <v>381</v>
      </c>
      <c r="AA246" s="1" t="s">
        <v>5</v>
      </c>
      <c r="AC246" s="1">
        <v>1033</v>
      </c>
      <c r="AD246" s="31">
        <v>46221</v>
      </c>
      <c r="AE246" s="31">
        <v>46161</v>
      </c>
      <c r="AF246" s="1">
        <v>102</v>
      </c>
      <c r="AG246" s="1">
        <v>102</v>
      </c>
      <c r="AH246" s="1" t="s">
        <v>519</v>
      </c>
      <c r="AI246" s="1" t="b">
        <v>0</v>
      </c>
      <c r="AJ246" s="1" t="s">
        <v>879</v>
      </c>
      <c r="AK246" s="1" t="str">
        <f>IF(ISBLANK(SharePointTasks[[#This Row],[Operational ActionId]]), SharePointTasks[[#This Row],[Title]], SharePointTasks[[#This Row],[Title]] &amp; " (" &amp; VLOOKUP(SharePointTasks[[#This Row],[Operational ActionId]], Operational_Actions[], 6, FALSE) &amp; ")")</f>
        <v>Archery - SP/TP/G</v>
      </c>
      <c r="AM246" s="1" t="str">
        <v>Archery - SP/TP/G</v>
      </c>
    </row>
    <row r="247" spans="1:39" x14ac:dyDescent="0.2">
      <c r="A247" s="1">
        <v>0</v>
      </c>
      <c r="B247" s="1">
        <v>1056</v>
      </c>
      <c r="D247" s="1" t="s">
        <v>348</v>
      </c>
      <c r="E247" s="1" t="s">
        <v>875</v>
      </c>
      <c r="F247" s="1" t="s">
        <v>876</v>
      </c>
      <c r="G247" s="1" t="s">
        <v>378</v>
      </c>
      <c r="J247" s="1" t="s">
        <v>87</v>
      </c>
      <c r="K247" s="31">
        <v>46304</v>
      </c>
      <c r="L247" s="31">
        <v>46335</v>
      </c>
      <c r="P247" s="1" t="s">
        <v>379</v>
      </c>
      <c r="Q247" s="1" t="s">
        <v>379</v>
      </c>
      <c r="S247" s="1" t="s">
        <v>380</v>
      </c>
      <c r="T247" s="1">
        <v>7396</v>
      </c>
      <c r="U247" s="1" t="s">
        <v>381</v>
      </c>
      <c r="AA247" s="1" t="s">
        <v>5</v>
      </c>
      <c r="AC247" s="1">
        <v>1056</v>
      </c>
      <c r="AD247" s="31">
        <v>46221</v>
      </c>
      <c r="AE247" s="31">
        <v>46161</v>
      </c>
      <c r="AF247" s="1">
        <v>102</v>
      </c>
      <c r="AG247" s="1">
        <v>102</v>
      </c>
      <c r="AH247" s="1" t="s">
        <v>519</v>
      </c>
      <c r="AI247" s="1" t="b">
        <v>0</v>
      </c>
      <c r="AJ247" s="1" t="s">
        <v>878</v>
      </c>
      <c r="AK247" s="1" t="str">
        <f>IF(ISBLANK(SharePointTasks[[#This Row],[Operational ActionId]]), SharePointTasks[[#This Row],[Title]], SharePointTasks[[#This Row],[Title]] &amp; " (" &amp; VLOOKUP(SharePointTasks[[#This Row],[Operational ActionId]], Operational_Actions[], 6, FALSE) &amp; ")")</f>
        <v>Archery - SP/TP/G</v>
      </c>
      <c r="AM247" s="1" t="str">
        <v>Archery - SP/TP/G</v>
      </c>
    </row>
    <row r="248" spans="1:39" x14ac:dyDescent="0.2">
      <c r="A248" s="1">
        <v>0</v>
      </c>
      <c r="B248" s="1">
        <v>1125</v>
      </c>
      <c r="D248" s="1" t="s">
        <v>348</v>
      </c>
      <c r="E248" s="1" t="s">
        <v>875</v>
      </c>
      <c r="F248" s="1" t="s">
        <v>876</v>
      </c>
      <c r="G248" s="1" t="s">
        <v>378</v>
      </c>
      <c r="J248" s="1" t="s">
        <v>87</v>
      </c>
      <c r="K248" s="31">
        <v>46304</v>
      </c>
      <c r="L248" s="31">
        <v>46305</v>
      </c>
      <c r="P248" s="1" t="s">
        <v>379</v>
      </c>
      <c r="Q248" s="1" t="s">
        <v>379</v>
      </c>
      <c r="S248" s="1" t="s">
        <v>380</v>
      </c>
      <c r="T248" s="1">
        <v>7604</v>
      </c>
      <c r="U248" s="1" t="s">
        <v>381</v>
      </c>
      <c r="AA248" s="1" t="s">
        <v>5</v>
      </c>
      <c r="AC248" s="1">
        <v>1125</v>
      </c>
      <c r="AD248" s="31">
        <v>46221</v>
      </c>
      <c r="AE248" s="31">
        <v>46161</v>
      </c>
      <c r="AF248" s="1">
        <v>102</v>
      </c>
      <c r="AG248" s="1">
        <v>102</v>
      </c>
      <c r="AH248" s="1" t="s">
        <v>519</v>
      </c>
      <c r="AI248" s="1" t="b">
        <v>0</v>
      </c>
      <c r="AJ248" s="1" t="s">
        <v>877</v>
      </c>
      <c r="AK248" s="1" t="str">
        <f>IF(ISBLANK(SharePointTasks[[#This Row],[Operational ActionId]]), SharePointTasks[[#This Row],[Title]], SharePointTasks[[#This Row],[Title]] &amp; " (" &amp; VLOOKUP(SharePointTasks[[#This Row],[Operational ActionId]], Operational_Actions[], 6, FALSE) &amp; ")")</f>
        <v>Archery - SP/TP/G</v>
      </c>
      <c r="AM248" s="1" t="str">
        <v>Archery - SP/TP/G</v>
      </c>
    </row>
    <row r="249" spans="1:39" x14ac:dyDescent="0.2">
      <c r="A249" s="1">
        <v>0</v>
      </c>
      <c r="B249" s="1">
        <v>936</v>
      </c>
      <c r="D249" s="1" t="s">
        <v>348</v>
      </c>
      <c r="E249" s="1" t="s">
        <v>445</v>
      </c>
      <c r="F249" s="1" t="s">
        <v>406</v>
      </c>
      <c r="G249" s="1" t="s">
        <v>378</v>
      </c>
      <c r="J249" s="1" t="s">
        <v>87</v>
      </c>
      <c r="K249" s="31">
        <v>46309</v>
      </c>
      <c r="L249" s="31">
        <v>46309</v>
      </c>
      <c r="P249" s="1" t="s">
        <v>379</v>
      </c>
      <c r="Q249" s="1" t="s">
        <v>379</v>
      </c>
      <c r="T249" s="1">
        <v>5726</v>
      </c>
      <c r="U249" s="1" t="s">
        <v>381</v>
      </c>
      <c r="Y249" s="1" t="b">
        <v>1</v>
      </c>
      <c r="AA249" s="1" t="s">
        <v>94</v>
      </c>
      <c r="AC249" s="1">
        <v>936</v>
      </c>
      <c r="AD249" s="31">
        <v>46225</v>
      </c>
      <c r="AE249" s="31">
        <v>46161</v>
      </c>
      <c r="AF249" s="1">
        <v>102</v>
      </c>
      <c r="AG249" s="1">
        <v>102</v>
      </c>
      <c r="AH249" s="1" t="s">
        <v>414</v>
      </c>
      <c r="AI249" s="1" t="b">
        <v>0</v>
      </c>
      <c r="AJ249" s="1" t="s">
        <v>880</v>
      </c>
      <c r="AK249" s="1" t="str">
        <f>IF(ISBLANK(SharePointTasks[[#This Row],[Operational ActionId]]), SharePointTasks[[#This Row],[Title]], SharePointTasks[[#This Row],[Title]] &amp; " (" &amp; VLOOKUP(SharePointTasks[[#This Row],[Operational ActionId]], Operational_Actions[], 6, FALSE) &amp; ")")</f>
        <v>Branch Cub Scout Section Team Meeting</v>
      </c>
      <c r="AM249" s="1" t="str">
        <v>Branch Cub Scout Section Team Meeting</v>
      </c>
    </row>
    <row r="250" spans="1:39" x14ac:dyDescent="0.2">
      <c r="A250" s="1">
        <v>0</v>
      </c>
      <c r="B250" s="1">
        <v>885</v>
      </c>
      <c r="D250" s="1" t="s">
        <v>348</v>
      </c>
      <c r="E250" s="1" t="s">
        <v>881</v>
      </c>
      <c r="F250" s="1" t="s">
        <v>416</v>
      </c>
      <c r="G250" s="1" t="s">
        <v>378</v>
      </c>
      <c r="J250" s="1" t="s">
        <v>87</v>
      </c>
      <c r="K250" s="31">
        <v>46310</v>
      </c>
      <c r="L250" s="31">
        <v>46312</v>
      </c>
      <c r="P250" s="1" t="s">
        <v>379</v>
      </c>
      <c r="Q250" s="1" t="s">
        <v>379</v>
      </c>
      <c r="T250" s="1">
        <v>5672</v>
      </c>
      <c r="U250" s="1" t="s">
        <v>381</v>
      </c>
      <c r="Y250" s="1" t="b">
        <v>1</v>
      </c>
      <c r="AA250" s="1" t="s">
        <v>94</v>
      </c>
      <c r="AC250" s="1">
        <v>885</v>
      </c>
      <c r="AD250" s="31">
        <v>46225</v>
      </c>
      <c r="AE250" s="31">
        <v>46161</v>
      </c>
      <c r="AF250" s="1">
        <v>102</v>
      </c>
      <c r="AG250" s="1">
        <v>102</v>
      </c>
      <c r="AH250" s="1" t="s">
        <v>414</v>
      </c>
      <c r="AI250" s="1" t="b">
        <v>0</v>
      </c>
      <c r="AJ250" s="1" t="s">
        <v>882</v>
      </c>
      <c r="AK250" s="1" t="str">
        <f>IF(ISBLANK(SharePointTasks[[#This Row],[Operational ActionId]]), SharePointTasks[[#This Row],[Title]], SharePointTasks[[#This Row],[Title]] &amp; " (" &amp; VLOOKUP(SharePointTasks[[#This Row],[Operational ActionId]], Operational_Actions[], 6, FALSE) &amp; ")")</f>
        <v>JOTA/JOTI</v>
      </c>
      <c r="AM250" s="1" t="str">
        <v>JOTA/JOTI</v>
      </c>
    </row>
    <row r="251" spans="1:39" x14ac:dyDescent="0.2">
      <c r="A251" s="1">
        <v>0</v>
      </c>
      <c r="B251" s="1">
        <v>886</v>
      </c>
      <c r="D251" s="1" t="s">
        <v>348</v>
      </c>
      <c r="E251" s="1" t="s">
        <v>885</v>
      </c>
      <c r="F251" s="1" t="s">
        <v>416</v>
      </c>
      <c r="G251" s="1" t="s">
        <v>378</v>
      </c>
      <c r="J251" s="1" t="s">
        <v>87</v>
      </c>
      <c r="K251" s="31">
        <v>46311</v>
      </c>
      <c r="L251" s="31">
        <v>46312</v>
      </c>
      <c r="P251" s="1" t="s">
        <v>379</v>
      </c>
      <c r="Q251" s="1" t="s">
        <v>379</v>
      </c>
      <c r="T251" s="1">
        <v>5673</v>
      </c>
      <c r="U251" s="1" t="s">
        <v>381</v>
      </c>
      <c r="Y251" s="1" t="b">
        <v>1</v>
      </c>
      <c r="AA251" s="1" t="s">
        <v>94</v>
      </c>
      <c r="AC251" s="1">
        <v>886</v>
      </c>
      <c r="AD251" s="31">
        <v>46225</v>
      </c>
      <c r="AE251" s="31">
        <v>46161</v>
      </c>
      <c r="AF251" s="1">
        <v>102</v>
      </c>
      <c r="AG251" s="1">
        <v>102</v>
      </c>
      <c r="AH251" s="1" t="s">
        <v>414</v>
      </c>
      <c r="AI251" s="1" t="b">
        <v>0</v>
      </c>
      <c r="AJ251" s="1" t="s">
        <v>886</v>
      </c>
      <c r="AK251" s="1" t="str">
        <f>IF(ISBLANK(SharePointTasks[[#This Row],[Operational ActionId]]), SharePointTasks[[#This Row],[Title]], SharePointTasks[[#This Row],[Title]] &amp; " (" &amp; VLOOKUP(SharePointTasks[[#This Row],[Operational ActionId]], Operational_Actions[], 6, FALSE) &amp; ")")</f>
        <v>JOTA/JOTI Activity Camp - BP Park</v>
      </c>
      <c r="AM251" s="1" t="str">
        <v>JOTA/JOTI Activity Camp - BP Park</v>
      </c>
    </row>
    <row r="252" spans="1:39" x14ac:dyDescent="0.2">
      <c r="A252" s="1">
        <v>0</v>
      </c>
      <c r="B252" s="1">
        <v>887</v>
      </c>
      <c r="D252" s="1" t="s">
        <v>348</v>
      </c>
      <c r="E252" s="1" t="s">
        <v>883</v>
      </c>
      <c r="F252" s="1" t="s">
        <v>416</v>
      </c>
      <c r="G252" s="1" t="s">
        <v>378</v>
      </c>
      <c r="J252" s="1" t="s">
        <v>87</v>
      </c>
      <c r="K252" s="31">
        <v>46311</v>
      </c>
      <c r="L252" s="31">
        <v>46312</v>
      </c>
      <c r="P252" s="1" t="s">
        <v>379</v>
      </c>
      <c r="Q252" s="1" t="s">
        <v>379</v>
      </c>
      <c r="T252" s="1">
        <v>5674</v>
      </c>
      <c r="U252" s="1" t="s">
        <v>381</v>
      </c>
      <c r="Y252" s="1" t="b">
        <v>1</v>
      </c>
      <c r="AA252" s="1" t="s">
        <v>94</v>
      </c>
      <c r="AC252" s="1">
        <v>887</v>
      </c>
      <c r="AD252" s="31">
        <v>46225</v>
      </c>
      <c r="AE252" s="31">
        <v>46161</v>
      </c>
      <c r="AF252" s="1">
        <v>102</v>
      </c>
      <c r="AG252" s="1">
        <v>102</v>
      </c>
      <c r="AH252" s="1" t="s">
        <v>414</v>
      </c>
      <c r="AI252" s="1" t="b">
        <v>0</v>
      </c>
      <c r="AJ252" s="1" t="s">
        <v>884</v>
      </c>
      <c r="AK252" s="1" t="str">
        <f>IF(ISBLANK(SharePointTasks[[#This Row],[Operational ActionId]]), SharePointTasks[[#This Row],[Title]], SharePointTasks[[#This Row],[Title]] &amp; " (" &amp; VLOOKUP(SharePointTasks[[#This Row],[Operational ActionId]], Operational_Actions[], 6, FALSE) &amp; ")")</f>
        <v>JOTA/JOTI Activity Camp - Murrenbong</v>
      </c>
      <c r="AM252" s="1" t="str">
        <v>JOTA/JOTI Activity Camp - Murrenbong</v>
      </c>
    </row>
    <row r="253" spans="1:39" x14ac:dyDescent="0.2">
      <c r="A253" s="1">
        <v>0</v>
      </c>
      <c r="B253" s="1">
        <v>1000</v>
      </c>
      <c r="D253" s="1" t="s">
        <v>348</v>
      </c>
      <c r="E253" s="1" t="s">
        <v>405</v>
      </c>
      <c r="F253" s="1" t="s">
        <v>406</v>
      </c>
      <c r="G253" s="1" t="s">
        <v>378</v>
      </c>
      <c r="J253" s="1" t="s">
        <v>87</v>
      </c>
      <c r="K253" s="31">
        <v>46312</v>
      </c>
      <c r="L253" s="31">
        <v>46312</v>
      </c>
      <c r="P253" s="1" t="s">
        <v>379</v>
      </c>
      <c r="Q253" s="1" t="s">
        <v>379</v>
      </c>
      <c r="S253" s="1" t="s">
        <v>407</v>
      </c>
      <c r="T253" s="1">
        <v>5790</v>
      </c>
      <c r="U253" s="1" t="s">
        <v>381</v>
      </c>
      <c r="Y253" s="1" t="b">
        <v>1</v>
      </c>
      <c r="AA253" s="1" t="s">
        <v>94</v>
      </c>
      <c r="AC253" s="1">
        <v>1000</v>
      </c>
      <c r="AD253" s="31">
        <v>46225</v>
      </c>
      <c r="AE253" s="31">
        <v>46161</v>
      </c>
      <c r="AF253" s="1">
        <v>102</v>
      </c>
      <c r="AG253" s="1">
        <v>102</v>
      </c>
      <c r="AH253" s="1" t="s">
        <v>414</v>
      </c>
      <c r="AI253" s="1" t="b">
        <v>0</v>
      </c>
      <c r="AJ253" s="1" t="s">
        <v>887</v>
      </c>
      <c r="AK253" s="1" t="str">
        <f>IF(ISBLANK(SharePointTasks[[#This Row],[Operational ActionId]]), SharePointTasks[[#This Row],[Title]], SharePointTasks[[#This Row],[Title]] &amp; " (" &amp; VLOOKUP(SharePointTasks[[#This Row],[Operational ActionId]], Operational_Actions[], 6, FALSE) &amp; ")")</f>
        <v>Queensland Branch Rover Council Meeting</v>
      </c>
      <c r="AM253" s="1" t="str">
        <v>Queensland Branch Rover Council Meeting</v>
      </c>
    </row>
    <row r="254" spans="1:39" x14ac:dyDescent="0.2">
      <c r="A254" s="1">
        <v>0</v>
      </c>
      <c r="B254" s="1">
        <v>959</v>
      </c>
      <c r="D254" s="1" t="s">
        <v>348</v>
      </c>
      <c r="E254" s="1" t="s">
        <v>409</v>
      </c>
      <c r="F254" s="1" t="s">
        <v>410</v>
      </c>
      <c r="G254" s="1" t="s">
        <v>378</v>
      </c>
      <c r="J254" s="1" t="s">
        <v>87</v>
      </c>
      <c r="K254" s="31">
        <v>46313</v>
      </c>
      <c r="L254" s="31">
        <v>46313</v>
      </c>
      <c r="P254" s="1" t="s">
        <v>379</v>
      </c>
      <c r="Q254" s="1" t="s">
        <v>379</v>
      </c>
      <c r="T254" s="1">
        <v>5749</v>
      </c>
      <c r="U254" s="1" t="s">
        <v>381</v>
      </c>
      <c r="AA254" s="1" t="s">
        <v>5</v>
      </c>
      <c r="AC254" s="1">
        <v>959</v>
      </c>
      <c r="AD254" s="31">
        <v>46221</v>
      </c>
      <c r="AE254" s="31">
        <v>46161</v>
      </c>
      <c r="AF254" s="1">
        <v>102</v>
      </c>
      <c r="AG254" s="1">
        <v>102</v>
      </c>
      <c r="AH254" s="1" t="s">
        <v>519</v>
      </c>
      <c r="AI254" s="1" t="b">
        <v>0</v>
      </c>
      <c r="AJ254" s="1" t="s">
        <v>889</v>
      </c>
      <c r="AK254" s="1" t="str">
        <f>IF(ISBLANK(SharePointTasks[[#This Row],[Operational ActionId]]), SharePointTasks[[#This Row],[Title]], SharePointTasks[[#This Row],[Title]] &amp; " (" &amp; VLOOKUP(SharePointTasks[[#This Row],[Operational ActionId]], Operational_Actions[], 6, FALSE) &amp; ")")</f>
        <v>Branch Finance Committee</v>
      </c>
      <c r="AM254" s="1" t="str">
        <v>Branch Finance Committee</v>
      </c>
    </row>
    <row r="255" spans="1:39" x14ac:dyDescent="0.2">
      <c r="A255" s="1">
        <v>0</v>
      </c>
      <c r="B255" s="1">
        <v>978</v>
      </c>
      <c r="D255" s="1" t="s">
        <v>348</v>
      </c>
      <c r="E255" s="1" t="s">
        <v>440</v>
      </c>
      <c r="F255" s="1" t="s">
        <v>406</v>
      </c>
      <c r="G255" s="1" t="s">
        <v>378</v>
      </c>
      <c r="J255" s="1" t="s">
        <v>87</v>
      </c>
      <c r="K255" s="31">
        <v>46313</v>
      </c>
      <c r="L255" s="31">
        <v>46313</v>
      </c>
      <c r="P255" s="1" t="s">
        <v>379</v>
      </c>
      <c r="Q255" s="1" t="s">
        <v>379</v>
      </c>
      <c r="T255" s="1">
        <v>5768</v>
      </c>
      <c r="U255" s="1" t="s">
        <v>381</v>
      </c>
      <c r="Y255" s="1" t="b">
        <v>1</v>
      </c>
      <c r="Z255" s="1" t="s">
        <v>413</v>
      </c>
      <c r="AA255" s="1" t="s">
        <v>94</v>
      </c>
      <c r="AC255" s="1">
        <v>978</v>
      </c>
      <c r="AD255" s="31">
        <v>46225</v>
      </c>
      <c r="AE255" s="31">
        <v>46161</v>
      </c>
      <c r="AF255" s="1">
        <v>102</v>
      </c>
      <c r="AG255" s="1">
        <v>102</v>
      </c>
      <c r="AH255" s="1" t="s">
        <v>676</v>
      </c>
      <c r="AI255" s="1" t="b">
        <v>0</v>
      </c>
      <c r="AJ255" s="1" t="s">
        <v>888</v>
      </c>
      <c r="AK255" s="1" t="str">
        <f>IF(ISBLANK(SharePointTasks[[#This Row],[Operational ActionId]]), SharePointTasks[[#This Row],[Title]], SharePointTasks[[#This Row],[Title]] &amp; " (" &amp; VLOOKUP(SharePointTasks[[#This Row],[Operational ActionId]], Operational_Actions[], 6, FALSE) &amp; ")")</f>
        <v>Branch Scout Section Council</v>
      </c>
      <c r="AM255" s="1" t="str">
        <v>Branch Scout Section Council</v>
      </c>
    </row>
    <row r="256" spans="1:39" x14ac:dyDescent="0.2">
      <c r="A256" s="1">
        <v>0</v>
      </c>
      <c r="B256" s="1">
        <v>968</v>
      </c>
      <c r="D256" s="1" t="s">
        <v>348</v>
      </c>
      <c r="E256" s="1" t="s">
        <v>412</v>
      </c>
      <c r="F256" s="1" t="s">
        <v>406</v>
      </c>
      <c r="G256" s="1" t="s">
        <v>378</v>
      </c>
      <c r="J256" s="1" t="s">
        <v>87</v>
      </c>
      <c r="K256" s="31">
        <v>46315</v>
      </c>
      <c r="L256" s="31">
        <v>46315</v>
      </c>
      <c r="P256" s="1" t="s">
        <v>379</v>
      </c>
      <c r="Q256" s="1" t="s">
        <v>379</v>
      </c>
      <c r="S256" s="1" t="s">
        <v>129</v>
      </c>
      <c r="T256" s="1">
        <v>5758</v>
      </c>
      <c r="U256" s="1" t="s">
        <v>381</v>
      </c>
      <c r="Y256" s="1" t="b">
        <v>1</v>
      </c>
      <c r="Z256" s="1" t="s">
        <v>413</v>
      </c>
      <c r="AA256" s="1" t="s">
        <v>94</v>
      </c>
      <c r="AC256" s="1">
        <v>968</v>
      </c>
      <c r="AD256" s="31">
        <v>46225</v>
      </c>
      <c r="AE256" s="31">
        <v>46161</v>
      </c>
      <c r="AF256" s="1">
        <v>102</v>
      </c>
      <c r="AG256" s="1">
        <v>102</v>
      </c>
      <c r="AH256" s="1" t="s">
        <v>676</v>
      </c>
      <c r="AI256" s="1" t="b">
        <v>0</v>
      </c>
      <c r="AJ256" s="1" t="s">
        <v>890</v>
      </c>
      <c r="AK256" s="1" t="str">
        <f>IF(ISBLANK(SharePointTasks[[#This Row],[Operational ActionId]]), SharePointTasks[[#This Row],[Title]], SharePointTasks[[#This Row],[Title]] &amp; " (" &amp; VLOOKUP(SharePointTasks[[#This Row],[Operational ActionId]], Operational_Actions[], 6, FALSE) &amp; ")")</f>
        <v>Branch Joey Scout Council</v>
      </c>
      <c r="AM256" s="1" t="str">
        <v>Branch Joey Scout Council</v>
      </c>
    </row>
    <row r="257" spans="1:39" x14ac:dyDescent="0.2">
      <c r="A257" s="1">
        <v>0</v>
      </c>
      <c r="B257" s="1">
        <v>988</v>
      </c>
      <c r="D257" s="1" t="s">
        <v>348</v>
      </c>
      <c r="E257" s="1" t="s">
        <v>442</v>
      </c>
      <c r="F257" s="1" t="s">
        <v>406</v>
      </c>
      <c r="G257" s="1" t="s">
        <v>378</v>
      </c>
      <c r="J257" s="1" t="s">
        <v>87</v>
      </c>
      <c r="K257" s="31">
        <v>46315</v>
      </c>
      <c r="L257" s="31">
        <v>46315</v>
      </c>
      <c r="P257" s="1" t="s">
        <v>379</v>
      </c>
      <c r="Q257" s="1" t="s">
        <v>379</v>
      </c>
      <c r="T257" s="1">
        <v>5778</v>
      </c>
      <c r="U257" s="1" t="s">
        <v>381</v>
      </c>
      <c r="Y257" s="1" t="b">
        <v>1</v>
      </c>
      <c r="AA257" s="1" t="s">
        <v>94</v>
      </c>
      <c r="AC257" s="1">
        <v>988</v>
      </c>
      <c r="AD257" s="31">
        <v>46225</v>
      </c>
      <c r="AE257" s="31">
        <v>46161</v>
      </c>
      <c r="AF257" s="1">
        <v>102</v>
      </c>
      <c r="AG257" s="1">
        <v>102</v>
      </c>
      <c r="AH257" s="1" t="s">
        <v>414</v>
      </c>
      <c r="AI257" s="1" t="b">
        <v>0</v>
      </c>
      <c r="AJ257" s="1" t="s">
        <v>891</v>
      </c>
      <c r="AK257" s="1" t="str">
        <f>IF(ISBLANK(SharePointTasks[[#This Row],[Operational ActionId]]), SharePointTasks[[#This Row],[Title]], SharePointTasks[[#This Row],[Title]] &amp; " (" &amp; VLOOKUP(SharePointTasks[[#This Row],[Operational ActionId]], Operational_Actions[], 6, FALSE) &amp; ")")</f>
        <v>Branch Youth Venturer Scout Council</v>
      </c>
      <c r="AM257" s="1" t="str">
        <v>Branch Youth Venturer Scout Council</v>
      </c>
    </row>
    <row r="258" spans="1:39" x14ac:dyDescent="0.2">
      <c r="A258" s="1">
        <v>0</v>
      </c>
      <c r="B258" s="1">
        <v>1126</v>
      </c>
      <c r="D258" s="1" t="s">
        <v>348</v>
      </c>
      <c r="E258" s="1" t="s">
        <v>892</v>
      </c>
      <c r="F258" s="1" t="s">
        <v>893</v>
      </c>
      <c r="G258" s="1" t="s">
        <v>378</v>
      </c>
      <c r="J258" s="1" t="s">
        <v>87</v>
      </c>
      <c r="K258" s="31">
        <v>46317</v>
      </c>
      <c r="L258" s="31">
        <v>46319</v>
      </c>
      <c r="P258" s="1" t="s">
        <v>379</v>
      </c>
      <c r="Q258" s="1" t="s">
        <v>379</v>
      </c>
      <c r="S258" s="1" t="s">
        <v>380</v>
      </c>
      <c r="T258" s="1">
        <v>7605</v>
      </c>
      <c r="U258" s="1" t="s">
        <v>381</v>
      </c>
      <c r="AA258" s="1" t="s">
        <v>5</v>
      </c>
      <c r="AC258" s="1">
        <v>1126</v>
      </c>
      <c r="AD258" s="31">
        <v>46221</v>
      </c>
      <c r="AE258" s="31">
        <v>46161</v>
      </c>
      <c r="AF258" s="1">
        <v>102</v>
      </c>
      <c r="AG258" s="1">
        <v>102</v>
      </c>
      <c r="AH258" s="1" t="s">
        <v>519</v>
      </c>
      <c r="AI258" s="1" t="b">
        <v>0</v>
      </c>
      <c r="AJ258" s="1" t="s">
        <v>894</v>
      </c>
      <c r="AK258" s="1" t="str">
        <f>IF(ISBLANK(SharePointTasks[[#This Row],[Operational ActionId]]), SharePointTasks[[#This Row],[Title]], SharePointTasks[[#This Row],[Title]] &amp; " (" &amp; VLOOKUP(SharePointTasks[[#This Row],[Operational ActionId]], Operational_Actions[], 6, FALSE) &amp; ")")</f>
        <v>Scouting Adventure (Rockhampton)</v>
      </c>
      <c r="AM258" s="1" t="str">
        <v>Scouting Adventure (Rockhampton)</v>
      </c>
    </row>
    <row r="259" spans="1:39" x14ac:dyDescent="0.2">
      <c r="A259" s="1">
        <v>0</v>
      </c>
      <c r="B259" s="1">
        <v>1127</v>
      </c>
      <c r="D259" s="1" t="s">
        <v>348</v>
      </c>
      <c r="E259" s="1" t="s">
        <v>895</v>
      </c>
      <c r="F259" s="1" t="s">
        <v>896</v>
      </c>
      <c r="G259" s="1" t="s">
        <v>378</v>
      </c>
      <c r="J259" s="1" t="s">
        <v>87</v>
      </c>
      <c r="K259" s="31">
        <v>46318</v>
      </c>
      <c r="L259" s="31">
        <v>46319</v>
      </c>
      <c r="P259" s="1" t="s">
        <v>379</v>
      </c>
      <c r="Q259" s="1" t="s">
        <v>379</v>
      </c>
      <c r="S259" s="1" t="s">
        <v>380</v>
      </c>
      <c r="T259" s="1">
        <v>7606</v>
      </c>
      <c r="U259" s="1" t="s">
        <v>381</v>
      </c>
      <c r="AA259" s="1" t="s">
        <v>5</v>
      </c>
      <c r="AC259" s="1">
        <v>1127</v>
      </c>
      <c r="AD259" s="31">
        <v>46221</v>
      </c>
      <c r="AE259" s="31">
        <v>46161</v>
      </c>
      <c r="AF259" s="1">
        <v>102</v>
      </c>
      <c r="AG259" s="1">
        <v>102</v>
      </c>
      <c r="AH259" s="1" t="s">
        <v>519</v>
      </c>
      <c r="AI259" s="1" t="b">
        <v>0</v>
      </c>
      <c r="AJ259" s="1" t="s">
        <v>897</v>
      </c>
      <c r="AK259" s="1" t="str">
        <f>IF(ISBLANK(SharePointTasks[[#This Row],[Operational ActionId]]), SharePointTasks[[#This Row],[Title]], SharePointTasks[[#This Row],[Title]] &amp; " (" &amp; VLOOKUP(SharePointTasks[[#This Row],[Operational ActionId]], Operational_Actions[], 6, FALSE) &amp; ")")</f>
        <v>Vertical - Abseiling Natural Surfaces - TP (FNR)</v>
      </c>
      <c r="AM259" s="1" t="str">
        <v>Vertical - Abseiling Natural Surfaces - TP (FNR)</v>
      </c>
    </row>
    <row r="260" spans="1:39" x14ac:dyDescent="0.2">
      <c r="A260" s="1">
        <v>0</v>
      </c>
      <c r="B260" s="1">
        <v>947</v>
      </c>
      <c r="D260" s="1" t="s">
        <v>348</v>
      </c>
      <c r="E260" s="1" t="s">
        <v>418</v>
      </c>
      <c r="F260" s="1" t="s">
        <v>419</v>
      </c>
      <c r="G260" s="1" t="s">
        <v>378</v>
      </c>
      <c r="J260" s="1" t="s">
        <v>87</v>
      </c>
      <c r="K260" s="31">
        <v>46321</v>
      </c>
      <c r="L260" s="31">
        <v>46321</v>
      </c>
      <c r="P260" s="1" t="s">
        <v>379</v>
      </c>
      <c r="Q260" s="1" t="s">
        <v>379</v>
      </c>
      <c r="T260" s="1">
        <v>5737</v>
      </c>
      <c r="U260" s="1" t="s">
        <v>381</v>
      </c>
      <c r="AA260" s="1" t="s">
        <v>5</v>
      </c>
      <c r="AC260" s="1">
        <v>947</v>
      </c>
      <c r="AD260" s="31">
        <v>46221</v>
      </c>
      <c r="AE260" s="31">
        <v>46161</v>
      </c>
      <c r="AF260" s="1">
        <v>102</v>
      </c>
      <c r="AG260" s="1">
        <v>102</v>
      </c>
      <c r="AH260" s="1" t="s">
        <v>519</v>
      </c>
      <c r="AI260" s="1" t="b">
        <v>0</v>
      </c>
      <c r="AJ260" s="1" t="s">
        <v>898</v>
      </c>
      <c r="AK260" s="1" t="str">
        <f>IF(ISBLANK(SharePointTasks[[#This Row],[Operational ActionId]]), SharePointTasks[[#This Row],[Title]], SharePointTasks[[#This Row],[Title]] &amp; " (" &amp; VLOOKUP(SharePointTasks[[#This Row],[Operational ActionId]], Operational_Actions[], 6, FALSE) &amp; ")")</f>
        <v>Branch Executive Committee</v>
      </c>
      <c r="AM260" s="1" t="str">
        <v>Branch Executive Committee</v>
      </c>
    </row>
    <row r="261" spans="1:39" x14ac:dyDescent="0.2">
      <c r="A261" s="1">
        <v>0</v>
      </c>
      <c r="B261" s="1">
        <v>1128</v>
      </c>
      <c r="D261" s="1" t="s">
        <v>348</v>
      </c>
      <c r="E261" s="1" t="s">
        <v>899</v>
      </c>
      <c r="F261" s="1" t="s">
        <v>900</v>
      </c>
      <c r="G261" s="1" t="s">
        <v>378</v>
      </c>
      <c r="J261" s="1" t="s">
        <v>87</v>
      </c>
      <c r="K261" s="31">
        <v>46324</v>
      </c>
      <c r="L261" s="31">
        <v>46326</v>
      </c>
      <c r="P261" s="1" t="s">
        <v>379</v>
      </c>
      <c r="Q261" s="1" t="s">
        <v>379</v>
      </c>
      <c r="S261" s="1" t="s">
        <v>380</v>
      </c>
      <c r="T261" s="1">
        <v>7607</v>
      </c>
      <c r="U261" s="1" t="s">
        <v>381</v>
      </c>
      <c r="AA261" s="1" t="s">
        <v>5</v>
      </c>
      <c r="AC261" s="1">
        <v>1128</v>
      </c>
      <c r="AD261" s="31">
        <v>46221</v>
      </c>
      <c r="AE261" s="31">
        <v>46161</v>
      </c>
      <c r="AF261" s="1">
        <v>102</v>
      </c>
      <c r="AG261" s="1">
        <v>102</v>
      </c>
      <c r="AH261" s="1" t="s">
        <v>519</v>
      </c>
      <c r="AI261" s="1" t="b">
        <v>0</v>
      </c>
      <c r="AJ261" s="1" t="s">
        <v>901</v>
      </c>
      <c r="AK261" s="1" t="str">
        <f>IF(ISBLANK(SharePointTasks[[#This Row],[Operational ActionId]]), SharePointTasks[[#This Row],[Title]], SharePointTasks[[#This Row],[Title]] &amp; " (" &amp; VLOOKUP(SharePointTasks[[#This Row],[Operational ActionId]], Operational_Actions[], 6, FALSE) &amp; ")")</f>
        <v>Guiding Adventure Course</v>
      </c>
      <c r="AM261" s="1" t="str">
        <v>Guiding Adventure Course</v>
      </c>
    </row>
    <row r="262" spans="1:39" x14ac:dyDescent="0.2">
      <c r="A262" s="1">
        <v>0</v>
      </c>
      <c r="B262" s="1">
        <v>1129</v>
      </c>
      <c r="D262" s="1" t="s">
        <v>348</v>
      </c>
      <c r="E262" s="1" t="s">
        <v>902</v>
      </c>
      <c r="F262" s="1" t="s">
        <v>903</v>
      </c>
      <c r="G262" s="1" t="s">
        <v>378</v>
      </c>
      <c r="J262" s="1" t="s">
        <v>87</v>
      </c>
      <c r="K262" s="31">
        <v>46324</v>
      </c>
      <c r="L262" s="31">
        <v>46326</v>
      </c>
      <c r="P262" s="1" t="s">
        <v>379</v>
      </c>
      <c r="Q262" s="1" t="s">
        <v>379</v>
      </c>
      <c r="S262" s="1" t="s">
        <v>380</v>
      </c>
      <c r="T262" s="1">
        <v>7608</v>
      </c>
      <c r="U262" s="1" t="s">
        <v>381</v>
      </c>
      <c r="Y262" s="1" t="b">
        <v>1</v>
      </c>
      <c r="AA262" s="1" t="s">
        <v>94</v>
      </c>
      <c r="AC262" s="1">
        <v>1129</v>
      </c>
      <c r="AD262" s="31">
        <v>46225</v>
      </c>
      <c r="AE262" s="31">
        <v>46161</v>
      </c>
      <c r="AF262" s="1">
        <v>102</v>
      </c>
      <c r="AG262" s="1">
        <v>102</v>
      </c>
      <c r="AH262" s="1" t="s">
        <v>414</v>
      </c>
      <c r="AI262" s="1" t="b">
        <v>0</v>
      </c>
      <c r="AJ262" s="1" t="s">
        <v>904</v>
      </c>
      <c r="AK262" s="1" t="str">
        <f>IF(ISBLANK(SharePointTasks[[#This Row],[Operational ActionId]]), SharePointTasks[[#This Row],[Title]], SharePointTasks[[#This Row],[Title]] &amp; " (" &amp; VLOOKUP(SharePointTasks[[#This Row],[Operational ActionId]], Operational_Actions[], 6, FALSE) &amp; ")")</f>
        <v>Scouting Leadership (FNQ)</v>
      </c>
      <c r="AM262" s="1" t="str">
        <v>Scouting Leadership (FNQ)</v>
      </c>
    </row>
    <row r="263" spans="1:39" x14ac:dyDescent="0.2">
      <c r="A263" s="1">
        <v>0</v>
      </c>
      <c r="B263" s="1">
        <v>1180</v>
      </c>
      <c r="D263" s="1" t="s">
        <v>348</v>
      </c>
      <c r="E263" s="1" t="s">
        <v>905</v>
      </c>
      <c r="G263" s="1" t="s">
        <v>696</v>
      </c>
      <c r="I263" s="1" t="s">
        <v>658</v>
      </c>
      <c r="J263" s="1" t="s">
        <v>697</v>
      </c>
      <c r="K263" s="31">
        <v>46324</v>
      </c>
      <c r="L263" s="31">
        <v>46324</v>
      </c>
      <c r="P263" s="1" t="s">
        <v>379</v>
      </c>
      <c r="Q263" s="1" t="s">
        <v>379</v>
      </c>
      <c r="U263" s="1" t="s">
        <v>381</v>
      </c>
      <c r="X263" s="1">
        <v>12</v>
      </c>
      <c r="Y263" s="1" t="b">
        <v>1</v>
      </c>
      <c r="AA263" s="1" t="s">
        <v>7</v>
      </c>
      <c r="AC263" s="1">
        <v>1180</v>
      </c>
      <c r="AD263" s="31">
        <v>46219</v>
      </c>
      <c r="AE263" s="31">
        <v>46219</v>
      </c>
      <c r="AF263" s="1">
        <v>102</v>
      </c>
      <c r="AG263" s="1">
        <v>102</v>
      </c>
      <c r="AH263" s="1" t="s">
        <v>660</v>
      </c>
      <c r="AI263" s="1" t="b">
        <v>0</v>
      </c>
      <c r="AJ263" s="1" t="s">
        <v>906</v>
      </c>
      <c r="AK263" s="1" t="str">
        <f>IF(ISBLANK(SharePointTasks[[#This Row],[Operational ActionId]]), SharePointTasks[[#This Row],[Title]], SharePointTasks[[#This Row],[Title]] &amp; " (" &amp; VLOOKUP(SharePointTasks[[#This Row],[Operational ActionId]], Operational_Actions[], 6, FALSE) &amp; ")")</f>
        <v>National News article about new program resources site (Achievement Pathways Improvements (2026))</v>
      </c>
      <c r="AM263" s="1" t="str">
        <v>National News article about new program resources site (Achievement Pathways Improvements (2026))</v>
      </c>
    </row>
    <row r="264" spans="1:39" x14ac:dyDescent="0.2">
      <c r="A264" s="1">
        <v>0</v>
      </c>
      <c r="B264" s="1">
        <v>1130</v>
      </c>
      <c r="D264" s="1" t="s">
        <v>348</v>
      </c>
      <c r="E264" s="1" t="s">
        <v>495</v>
      </c>
      <c r="F264" s="1" t="s">
        <v>908</v>
      </c>
      <c r="G264" s="1" t="s">
        <v>378</v>
      </c>
      <c r="J264" s="1" t="s">
        <v>87</v>
      </c>
      <c r="K264" s="31">
        <v>46325</v>
      </c>
      <c r="L264" s="31">
        <v>46326</v>
      </c>
      <c r="P264" s="1" t="s">
        <v>379</v>
      </c>
      <c r="Q264" s="1" t="s">
        <v>379</v>
      </c>
      <c r="S264" s="1" t="s">
        <v>380</v>
      </c>
      <c r="T264" s="1">
        <v>7609</v>
      </c>
      <c r="U264" s="1" t="s">
        <v>381</v>
      </c>
      <c r="AA264" s="1" t="s">
        <v>5</v>
      </c>
      <c r="AC264" s="1">
        <v>1130</v>
      </c>
      <c r="AD264" s="31">
        <v>46221</v>
      </c>
      <c r="AE264" s="31">
        <v>46161</v>
      </c>
      <c r="AF264" s="1">
        <v>102</v>
      </c>
      <c r="AG264" s="1">
        <v>102</v>
      </c>
      <c r="AH264" s="1" t="s">
        <v>519</v>
      </c>
      <c r="AI264" s="1" t="b">
        <v>0</v>
      </c>
      <c r="AJ264" s="1" t="s">
        <v>909</v>
      </c>
      <c r="AK264" s="1" t="str">
        <f>IF(ISBLANK(SharePointTasks[[#This Row],[Operational ActionId]]), SharePointTasks[[#This Row],[Title]], SharePointTasks[[#This Row],[Title]] &amp; " (" &amp; VLOOKUP(SharePointTasks[[#This Row],[Operational ActionId]], Operational_Actions[], 6, FALSE) &amp; ")")</f>
        <v>Snorkelling - SP/Guide (Sunshine Coast)</v>
      </c>
      <c r="AM264" s="1" t="str">
        <v>Snorkelling - SP/Guide (Sunshine Coast)</v>
      </c>
    </row>
    <row r="265" spans="1:39" x14ac:dyDescent="0.2">
      <c r="A265" s="1">
        <v>0</v>
      </c>
      <c r="B265" s="1">
        <v>1019</v>
      </c>
      <c r="D265" s="1" t="s">
        <v>348</v>
      </c>
      <c r="E265" s="1" t="s">
        <v>498</v>
      </c>
      <c r="F265" s="1" t="s">
        <v>499</v>
      </c>
      <c r="G265" s="1" t="s">
        <v>378</v>
      </c>
      <c r="J265" s="1" t="s">
        <v>87</v>
      </c>
      <c r="K265" s="31">
        <v>46328</v>
      </c>
      <c r="L265" s="31">
        <v>46328</v>
      </c>
      <c r="P265" s="1" t="s">
        <v>379</v>
      </c>
      <c r="Q265" s="1" t="s">
        <v>379</v>
      </c>
      <c r="S265" s="1" t="s">
        <v>380</v>
      </c>
      <c r="T265" s="1">
        <v>7166</v>
      </c>
      <c r="U265" s="1" t="s">
        <v>381</v>
      </c>
      <c r="AA265" s="1" t="s">
        <v>5</v>
      </c>
      <c r="AC265" s="1">
        <v>1019</v>
      </c>
      <c r="AD265" s="31">
        <v>46221</v>
      </c>
      <c r="AE265" s="31">
        <v>46161</v>
      </c>
      <c r="AF265" s="1">
        <v>102</v>
      </c>
      <c r="AG265" s="1">
        <v>102</v>
      </c>
      <c r="AH265" s="1" t="s">
        <v>519</v>
      </c>
      <c r="AI265" s="1" t="b">
        <v>0</v>
      </c>
      <c r="AJ265" s="1" t="s">
        <v>910</v>
      </c>
      <c r="AK265" s="1" t="str">
        <f>IF(ISBLANK(SharePointTasks[[#This Row],[Operational ActionId]]), SharePointTasks[[#This Row],[Title]], SharePointTasks[[#This Row],[Title]] &amp; " (" &amp; VLOOKUP(SharePointTasks[[#This Row],[Operational ActionId]], Operational_Actions[], 6, FALSE) &amp; ")")</f>
        <v>Scouting Management - Group Leaders (Online)</v>
      </c>
      <c r="AM265" s="1" t="str">
        <v>Scouting Management - Group Leaders (Online)</v>
      </c>
    </row>
    <row r="266" spans="1:39" x14ac:dyDescent="0.2">
      <c r="A266" s="1">
        <v>0</v>
      </c>
      <c r="B266" s="1">
        <v>1131</v>
      </c>
      <c r="D266" s="1" t="s">
        <v>348</v>
      </c>
      <c r="E266" s="1" t="s">
        <v>424</v>
      </c>
      <c r="F266" s="1" t="s">
        <v>551</v>
      </c>
      <c r="G266" s="1" t="s">
        <v>378</v>
      </c>
      <c r="J266" s="1" t="s">
        <v>87</v>
      </c>
      <c r="K266" s="31">
        <v>46329</v>
      </c>
      <c r="L266" s="31">
        <v>46329</v>
      </c>
      <c r="P266" s="1" t="s">
        <v>379</v>
      </c>
      <c r="Q266" s="1" t="s">
        <v>379</v>
      </c>
      <c r="S266" s="1" t="s">
        <v>380</v>
      </c>
      <c r="T266" s="1">
        <v>7610</v>
      </c>
      <c r="U266" s="1" t="s">
        <v>381</v>
      </c>
      <c r="AA266" s="1" t="s">
        <v>5</v>
      </c>
      <c r="AC266" s="1">
        <v>1131</v>
      </c>
      <c r="AD266" s="31">
        <v>46221</v>
      </c>
      <c r="AE266" s="31">
        <v>46161</v>
      </c>
      <c r="AF266" s="1">
        <v>102</v>
      </c>
      <c r="AG266" s="1">
        <v>102</v>
      </c>
      <c r="AH266" s="1" t="s">
        <v>519</v>
      </c>
      <c r="AI266" s="1" t="b">
        <v>0</v>
      </c>
      <c r="AJ266" s="1" t="s">
        <v>911</v>
      </c>
      <c r="AK266" s="1" t="str">
        <f>IF(ISBLANK(SharePointTasks[[#This Row],[Operational ActionId]]), SharePointTasks[[#This Row],[Title]], SharePointTasks[[#This Row],[Title]] &amp; " (" &amp; VLOOKUP(SharePointTasks[[#This Row],[Operational ActionId]], Operational_Actions[], 6, FALSE) &amp; ")")</f>
        <v>Scouting Leadership (Online)</v>
      </c>
      <c r="AM266" s="1" t="str">
        <v>Scouting Leadership (Online)</v>
      </c>
    </row>
    <row r="267" spans="1:39" x14ac:dyDescent="0.2">
      <c r="A267" s="1">
        <v>0</v>
      </c>
      <c r="B267" s="1">
        <v>911</v>
      </c>
      <c r="D267" s="1" t="s">
        <v>348</v>
      </c>
      <c r="E267" s="1" t="s">
        <v>489</v>
      </c>
      <c r="F267" s="1" t="s">
        <v>490</v>
      </c>
      <c r="G267" s="1" t="s">
        <v>378</v>
      </c>
      <c r="J267" s="1" t="s">
        <v>87</v>
      </c>
      <c r="K267" s="31">
        <v>46332</v>
      </c>
      <c r="L267" s="31">
        <v>46332</v>
      </c>
      <c r="P267" s="1" t="s">
        <v>379</v>
      </c>
      <c r="Q267" s="1" t="s">
        <v>379</v>
      </c>
      <c r="T267" s="1">
        <v>5700</v>
      </c>
      <c r="U267" s="1" t="s">
        <v>381</v>
      </c>
      <c r="Y267" s="1" t="b">
        <v>1</v>
      </c>
      <c r="AA267" s="1" t="s">
        <v>94</v>
      </c>
      <c r="AC267" s="1">
        <v>911</v>
      </c>
      <c r="AD267" s="31">
        <v>46225</v>
      </c>
      <c r="AE267" s="31">
        <v>46161</v>
      </c>
      <c r="AF267" s="1">
        <v>102</v>
      </c>
      <c r="AG267" s="1">
        <v>102</v>
      </c>
      <c r="AH267" s="1" t="s">
        <v>414</v>
      </c>
      <c r="AI267" s="1" t="b">
        <v>0</v>
      </c>
      <c r="AJ267" s="1" t="s">
        <v>912</v>
      </c>
      <c r="AK267" s="1" t="str">
        <f>IF(ISBLANK(SharePointTasks[[#This Row],[Operational ActionId]]), SharePointTasks[[#This Row],[Title]], SharePointTasks[[#This Row],[Title]] &amp; " (" &amp; VLOOKUP(SharePointTasks[[#This Row],[Operational ActionId]], Operational_Actions[], 6, FALSE) &amp; ")")</f>
        <v>Region Commissioners Conference</v>
      </c>
      <c r="AM267" s="1" t="str">
        <v>Region Commissioners Conference</v>
      </c>
    </row>
    <row r="268" spans="1:39" x14ac:dyDescent="0.2">
      <c r="A268" s="1">
        <v>0</v>
      </c>
      <c r="B268" s="1">
        <v>1132</v>
      </c>
      <c r="D268" s="1" t="s">
        <v>348</v>
      </c>
      <c r="E268" s="1" t="s">
        <v>757</v>
      </c>
      <c r="F268" s="1" t="s">
        <v>758</v>
      </c>
      <c r="G268" s="1" t="s">
        <v>378</v>
      </c>
      <c r="J268" s="1" t="s">
        <v>87</v>
      </c>
      <c r="K268" s="31">
        <v>46333</v>
      </c>
      <c r="L268" s="31">
        <v>46333</v>
      </c>
      <c r="P268" s="1" t="s">
        <v>379</v>
      </c>
      <c r="Q268" s="1" t="s">
        <v>379</v>
      </c>
      <c r="S268" s="1" t="s">
        <v>380</v>
      </c>
      <c r="T268" s="1">
        <v>7611</v>
      </c>
      <c r="U268" s="1" t="s">
        <v>381</v>
      </c>
      <c r="AA268" s="1" t="s">
        <v>5</v>
      </c>
      <c r="AC268" s="1">
        <v>1132</v>
      </c>
      <c r="AD268" s="31">
        <v>46221</v>
      </c>
      <c r="AE268" s="31">
        <v>46161</v>
      </c>
      <c r="AF268" s="1">
        <v>102</v>
      </c>
      <c r="AG268" s="1">
        <v>102</v>
      </c>
      <c r="AH268" s="1" t="s">
        <v>519</v>
      </c>
      <c r="AI268" s="1" t="b">
        <v>0</v>
      </c>
      <c r="AJ268" s="1" t="s">
        <v>913</v>
      </c>
      <c r="AK268" s="1" t="str">
        <f>IF(ISBLANK(SharePointTasks[[#This Row],[Operational ActionId]]), SharePointTasks[[#This Row],[Title]], SharePointTasks[[#This Row],[Title]] &amp; " (" &amp; VLOOKUP(SharePointTasks[[#This Row],[Operational ActionId]], Operational_Actions[], 6, FALSE) &amp; ")")</f>
        <v>Basic Water Rescue (Wide Bay)</v>
      </c>
      <c r="AM268" s="1" t="str">
        <v>Basic Water Rescue (Wide Bay)</v>
      </c>
    </row>
    <row r="269" spans="1:39" x14ac:dyDescent="0.2">
      <c r="A269" s="1">
        <v>0</v>
      </c>
      <c r="B269" s="1">
        <v>924</v>
      </c>
      <c r="D269" s="1" t="s">
        <v>348</v>
      </c>
      <c r="E269" s="1" t="s">
        <v>914</v>
      </c>
      <c r="F269" s="1" t="s">
        <v>416</v>
      </c>
      <c r="G269" s="1" t="s">
        <v>378</v>
      </c>
      <c r="J269" s="1" t="s">
        <v>87</v>
      </c>
      <c r="K269" s="31">
        <v>46336</v>
      </c>
      <c r="L269" s="31">
        <v>46336</v>
      </c>
      <c r="P269" s="1" t="s">
        <v>379</v>
      </c>
      <c r="Q269" s="1" t="s">
        <v>379</v>
      </c>
      <c r="T269" s="1">
        <v>5714</v>
      </c>
      <c r="U269" s="1" t="s">
        <v>381</v>
      </c>
      <c r="Y269" s="1" t="b">
        <v>1</v>
      </c>
      <c r="AA269" s="1" t="s">
        <v>94</v>
      </c>
      <c r="AC269" s="1">
        <v>924</v>
      </c>
      <c r="AD269" s="31">
        <v>46225</v>
      </c>
      <c r="AE269" s="31">
        <v>46161</v>
      </c>
      <c r="AF269" s="1">
        <v>102</v>
      </c>
      <c r="AG269" s="1">
        <v>102</v>
      </c>
      <c r="AH269" s="1" t="s">
        <v>414</v>
      </c>
      <c r="AI269" s="1" t="b">
        <v>0</v>
      </c>
      <c r="AJ269" s="1" t="s">
        <v>915</v>
      </c>
      <c r="AK269" s="1" t="str">
        <f>IF(ISBLANK(SharePointTasks[[#This Row],[Operational ActionId]]), SharePointTasks[[#This Row],[Title]], SharePointTasks[[#This Row],[Title]] &amp; " (" &amp; VLOOKUP(SharePointTasks[[#This Row],[Operational ActionId]], Operational_Actions[], 6, FALSE) &amp; ")")</f>
        <v>Remembrance Day</v>
      </c>
      <c r="AM269" s="1" t="str">
        <v>Remembrance Day</v>
      </c>
    </row>
    <row r="270" spans="1:39" x14ac:dyDescent="0.2">
      <c r="A270" s="1">
        <v>0</v>
      </c>
      <c r="B270" s="1">
        <v>898</v>
      </c>
      <c r="D270" s="1" t="s">
        <v>348</v>
      </c>
      <c r="E270" s="1" t="s">
        <v>534</v>
      </c>
      <c r="F270" s="1" t="s">
        <v>535</v>
      </c>
      <c r="G270" s="1" t="s">
        <v>378</v>
      </c>
      <c r="J270" s="1" t="s">
        <v>87</v>
      </c>
      <c r="K270" s="31">
        <v>46338</v>
      </c>
      <c r="L270" s="31">
        <v>46340</v>
      </c>
      <c r="P270" s="1" t="s">
        <v>379</v>
      </c>
      <c r="Q270" s="1" t="s">
        <v>379</v>
      </c>
      <c r="T270" s="1">
        <v>5687</v>
      </c>
      <c r="U270" s="1" t="s">
        <v>381</v>
      </c>
      <c r="Y270" s="1" t="b">
        <v>1</v>
      </c>
      <c r="AA270" s="1" t="s">
        <v>94</v>
      </c>
      <c r="AC270" s="1">
        <v>898</v>
      </c>
      <c r="AD270" s="31">
        <v>46225</v>
      </c>
      <c r="AE270" s="31">
        <v>46161</v>
      </c>
      <c r="AF270" s="1">
        <v>102</v>
      </c>
      <c r="AG270" s="1">
        <v>102</v>
      </c>
      <c r="AH270" s="1" t="s">
        <v>414</v>
      </c>
      <c r="AI270" s="1" t="b">
        <v>0</v>
      </c>
      <c r="AJ270" s="1" t="s">
        <v>919</v>
      </c>
      <c r="AK270" s="1" t="str">
        <f>IF(ISBLANK(SharePointTasks[[#This Row],[Operational ActionId]]), SharePointTasks[[#This Row],[Title]], SharePointTasks[[#This Row],[Title]] &amp; " (" &amp; VLOOKUP(SharePointTasks[[#This Row],[Operational ActionId]], Operational_Actions[], 6, FALSE) &amp; ")")</f>
        <v>Region Activity Weekend (RAW)</v>
      </c>
      <c r="AM270" s="1" t="str">
        <v>Region Activity Weekend (RAW)</v>
      </c>
    </row>
    <row r="271" spans="1:39" x14ac:dyDescent="0.2">
      <c r="A271" s="1">
        <v>0</v>
      </c>
      <c r="B271" s="1">
        <v>1133</v>
      </c>
      <c r="D271" s="1" t="s">
        <v>348</v>
      </c>
      <c r="E271" s="1" t="s">
        <v>502</v>
      </c>
      <c r="F271" s="1" t="s">
        <v>922</v>
      </c>
      <c r="G271" s="1" t="s">
        <v>378</v>
      </c>
      <c r="J271" s="1" t="s">
        <v>87</v>
      </c>
      <c r="K271" s="31">
        <v>46338</v>
      </c>
      <c r="L271" s="31">
        <v>46340</v>
      </c>
      <c r="P271" s="1" t="s">
        <v>379</v>
      </c>
      <c r="Q271" s="1" t="s">
        <v>379</v>
      </c>
      <c r="S271" s="1" t="s">
        <v>380</v>
      </c>
      <c r="T271" s="1">
        <v>7612</v>
      </c>
      <c r="U271" s="1" t="s">
        <v>381</v>
      </c>
      <c r="AA271" s="1" t="s">
        <v>5</v>
      </c>
      <c r="AC271" s="1">
        <v>1133</v>
      </c>
      <c r="AD271" s="31">
        <v>46221</v>
      </c>
      <c r="AE271" s="31">
        <v>46161</v>
      </c>
      <c r="AF271" s="1">
        <v>102</v>
      </c>
      <c r="AG271" s="1">
        <v>102</v>
      </c>
      <c r="AH271" s="1" t="s">
        <v>519</v>
      </c>
      <c r="AI271" s="1" t="b">
        <v>0</v>
      </c>
      <c r="AJ271" s="1" t="s">
        <v>923</v>
      </c>
      <c r="AK271" s="1" t="str">
        <f>IF(ISBLANK(SharePointTasks[[#This Row],[Operational ActionId]]), SharePointTasks[[#This Row],[Title]], SharePointTasks[[#This Row],[Title]] &amp; " (" &amp; VLOOKUP(SharePointTasks[[#This Row],[Operational ActionId]], Operational_Actions[], 6, FALSE) &amp; ")")</f>
        <v>Scouting Leadership (Brisbane)</v>
      </c>
      <c r="AM271" s="1" t="str">
        <v>Scouting Leadership (Brisbane)</v>
      </c>
    </row>
    <row r="272" spans="1:39" x14ac:dyDescent="0.2">
      <c r="A272" s="1">
        <v>0</v>
      </c>
      <c r="B272" s="1">
        <v>1134</v>
      </c>
      <c r="D272" s="1" t="s">
        <v>348</v>
      </c>
      <c r="E272" s="1" t="s">
        <v>431</v>
      </c>
      <c r="F272" s="1" t="s">
        <v>920</v>
      </c>
      <c r="G272" s="1" t="s">
        <v>378</v>
      </c>
      <c r="J272" s="1" t="s">
        <v>87</v>
      </c>
      <c r="K272" s="31">
        <v>46338</v>
      </c>
      <c r="L272" s="31">
        <v>46340</v>
      </c>
      <c r="P272" s="1" t="s">
        <v>379</v>
      </c>
      <c r="Q272" s="1" t="s">
        <v>379</v>
      </c>
      <c r="S272" s="1" t="s">
        <v>380</v>
      </c>
      <c r="T272" s="1">
        <v>7613</v>
      </c>
      <c r="U272" s="1" t="s">
        <v>381</v>
      </c>
      <c r="AA272" s="1" t="s">
        <v>5</v>
      </c>
      <c r="AC272" s="1">
        <v>1134</v>
      </c>
      <c r="AD272" s="31">
        <v>46221</v>
      </c>
      <c r="AE272" s="31">
        <v>46161</v>
      </c>
      <c r="AF272" s="1">
        <v>102</v>
      </c>
      <c r="AG272" s="1">
        <v>102</v>
      </c>
      <c r="AH272" s="1" t="s">
        <v>519</v>
      </c>
      <c r="AI272" s="1" t="b">
        <v>0</v>
      </c>
      <c r="AJ272" s="1" t="s">
        <v>921</v>
      </c>
      <c r="AK272" s="1" t="str">
        <f>IF(ISBLANK(SharePointTasks[[#This Row],[Operational ActionId]]), SharePointTasks[[#This Row],[Title]], SharePointTasks[[#This Row],[Title]] &amp; " (" &amp; VLOOKUP(SharePointTasks[[#This Row],[Operational ActionId]], Operational_Actions[], 6, FALSE) &amp; ")")</f>
        <v>Scouting Adventure (Brisbane)</v>
      </c>
      <c r="AM272" s="1" t="str">
        <v>Scouting Adventure (Brisbane)</v>
      </c>
    </row>
    <row r="273" spans="1:39" x14ac:dyDescent="0.2">
      <c r="A273" s="1">
        <v>0</v>
      </c>
      <c r="B273" s="1">
        <v>1135</v>
      </c>
      <c r="D273" s="1" t="s">
        <v>348</v>
      </c>
      <c r="E273" s="1" t="s">
        <v>916</v>
      </c>
      <c r="F273" s="1" t="s">
        <v>917</v>
      </c>
      <c r="G273" s="1" t="s">
        <v>378</v>
      </c>
      <c r="J273" s="1" t="s">
        <v>87</v>
      </c>
      <c r="K273" s="31">
        <v>46338</v>
      </c>
      <c r="L273" s="31">
        <v>46340</v>
      </c>
      <c r="P273" s="1" t="s">
        <v>379</v>
      </c>
      <c r="Q273" s="1" t="s">
        <v>379</v>
      </c>
      <c r="S273" s="1" t="s">
        <v>380</v>
      </c>
      <c r="T273" s="1">
        <v>7614</v>
      </c>
      <c r="U273" s="1" t="s">
        <v>381</v>
      </c>
      <c r="AA273" s="1" t="s">
        <v>5</v>
      </c>
      <c r="AC273" s="1">
        <v>1135</v>
      </c>
      <c r="AD273" s="31">
        <v>46221</v>
      </c>
      <c r="AE273" s="31">
        <v>46161</v>
      </c>
      <c r="AF273" s="1">
        <v>102</v>
      </c>
      <c r="AG273" s="1">
        <v>102</v>
      </c>
      <c r="AH273" s="1" t="s">
        <v>519</v>
      </c>
      <c r="AI273" s="1" t="b">
        <v>0</v>
      </c>
      <c r="AJ273" s="1" t="s">
        <v>918</v>
      </c>
      <c r="AK273" s="1" t="str">
        <f>IF(ISBLANK(SharePointTasks[[#This Row],[Operational ActionId]]), SharePointTasks[[#This Row],[Title]], SharePointTasks[[#This Row],[Title]] &amp; " (" &amp; VLOOKUP(SharePointTasks[[#This Row],[Operational ActionId]], Operational_Actions[], 6, FALSE) &amp; ")")</f>
        <v>Scouting Leadership (Bundaberg)</v>
      </c>
      <c r="AM273" s="1" t="str">
        <v>Scouting Leadership (Bundaberg)</v>
      </c>
    </row>
    <row r="274" spans="1:39" x14ac:dyDescent="0.2">
      <c r="A274" s="1">
        <v>0</v>
      </c>
      <c r="B274" s="1">
        <v>1136</v>
      </c>
      <c r="D274" s="1" t="s">
        <v>348</v>
      </c>
      <c r="E274" s="1" t="s">
        <v>386</v>
      </c>
      <c r="F274" s="1" t="s">
        <v>387</v>
      </c>
      <c r="G274" s="1" t="s">
        <v>378</v>
      </c>
      <c r="J274" s="1" t="s">
        <v>87</v>
      </c>
      <c r="K274" s="31">
        <v>46339</v>
      </c>
      <c r="L274" s="31">
        <v>46339</v>
      </c>
      <c r="P274" s="1" t="s">
        <v>379</v>
      </c>
      <c r="Q274" s="1" t="s">
        <v>379</v>
      </c>
      <c r="S274" s="1" t="s">
        <v>380</v>
      </c>
      <c r="T274" s="1">
        <v>7615</v>
      </c>
      <c r="U274" s="1" t="s">
        <v>381</v>
      </c>
      <c r="AA274" s="1" t="s">
        <v>5</v>
      </c>
      <c r="AC274" s="1">
        <v>1136</v>
      </c>
      <c r="AD274" s="31">
        <v>46221</v>
      </c>
      <c r="AE274" s="31">
        <v>46161</v>
      </c>
      <c r="AF274" s="1">
        <v>102</v>
      </c>
      <c r="AG274" s="1">
        <v>102</v>
      </c>
      <c r="AH274" s="1" t="s">
        <v>519</v>
      </c>
      <c r="AI274" s="1" t="b">
        <v>0</v>
      </c>
      <c r="AJ274" s="1" t="s">
        <v>924</v>
      </c>
      <c r="AK274" s="1" t="str">
        <f>IF(ISBLANK(SharePointTasks[[#This Row],[Operational ActionId]]), SharePointTasks[[#This Row],[Title]], SharePointTasks[[#This Row],[Title]] &amp; " (" &amp; VLOOKUP(SharePointTasks[[#This Row],[Operational ActionId]], Operational_Actions[], 6, FALSE) &amp; ")")</f>
        <v>Basic Water Rescue (FNQ)</v>
      </c>
      <c r="AM274" s="1" t="str">
        <v>Basic Water Rescue (FNQ)</v>
      </c>
    </row>
    <row r="275" spans="1:39" x14ac:dyDescent="0.2">
      <c r="A275" s="1">
        <v>0</v>
      </c>
      <c r="B275" s="1">
        <v>1001</v>
      </c>
      <c r="D275" s="1" t="s">
        <v>348</v>
      </c>
      <c r="E275" s="1" t="s">
        <v>405</v>
      </c>
      <c r="F275" s="1" t="s">
        <v>406</v>
      </c>
      <c r="G275" s="1" t="s">
        <v>378</v>
      </c>
      <c r="J275" s="1" t="s">
        <v>87</v>
      </c>
      <c r="K275" s="31">
        <v>46340</v>
      </c>
      <c r="L275" s="31">
        <v>46340</v>
      </c>
      <c r="P275" s="1" t="s">
        <v>379</v>
      </c>
      <c r="Q275" s="1" t="s">
        <v>379</v>
      </c>
      <c r="S275" s="1" t="s">
        <v>407</v>
      </c>
      <c r="T275" s="1">
        <v>5791</v>
      </c>
      <c r="U275" s="1" t="s">
        <v>381</v>
      </c>
      <c r="Y275" s="1" t="b">
        <v>1</v>
      </c>
      <c r="AA275" s="1" t="s">
        <v>94</v>
      </c>
      <c r="AC275" s="1">
        <v>1001</v>
      </c>
      <c r="AD275" s="31">
        <v>46225</v>
      </c>
      <c r="AE275" s="31">
        <v>46161</v>
      </c>
      <c r="AF275" s="1">
        <v>102</v>
      </c>
      <c r="AG275" s="1">
        <v>102</v>
      </c>
      <c r="AH275" s="1" t="s">
        <v>414</v>
      </c>
      <c r="AI275" s="1" t="b">
        <v>0</v>
      </c>
      <c r="AJ275" s="1" t="s">
        <v>925</v>
      </c>
      <c r="AK275" s="1" t="str">
        <f>IF(ISBLANK(SharePointTasks[[#This Row],[Operational ActionId]]), SharePointTasks[[#This Row],[Title]], SharePointTasks[[#This Row],[Title]] &amp; " (" &amp; VLOOKUP(SharePointTasks[[#This Row],[Operational ActionId]], Operational_Actions[], 6, FALSE) &amp; ")")</f>
        <v>Queensland Branch Rover Council Meeting</v>
      </c>
      <c r="AM275" s="1" t="str">
        <v>Queensland Branch Rover Council Meeting</v>
      </c>
    </row>
    <row r="276" spans="1:39" x14ac:dyDescent="0.2">
      <c r="A276" s="1">
        <v>0</v>
      </c>
      <c r="B276" s="1">
        <v>960</v>
      </c>
      <c r="D276" s="1" t="s">
        <v>348</v>
      </c>
      <c r="E276" s="1" t="s">
        <v>409</v>
      </c>
      <c r="F276" s="1" t="s">
        <v>410</v>
      </c>
      <c r="G276" s="1" t="s">
        <v>378</v>
      </c>
      <c r="J276" s="1" t="s">
        <v>87</v>
      </c>
      <c r="K276" s="31">
        <v>46341</v>
      </c>
      <c r="L276" s="31">
        <v>46341</v>
      </c>
      <c r="P276" s="1" t="s">
        <v>379</v>
      </c>
      <c r="Q276" s="1" t="s">
        <v>379</v>
      </c>
      <c r="T276" s="1">
        <v>5750</v>
      </c>
      <c r="U276" s="1" t="s">
        <v>381</v>
      </c>
      <c r="AA276" s="1" t="s">
        <v>5</v>
      </c>
      <c r="AC276" s="1">
        <v>960</v>
      </c>
      <c r="AD276" s="31">
        <v>46221</v>
      </c>
      <c r="AE276" s="31">
        <v>46161</v>
      </c>
      <c r="AF276" s="1">
        <v>102</v>
      </c>
      <c r="AG276" s="1">
        <v>102</v>
      </c>
      <c r="AH276" s="1" t="s">
        <v>519</v>
      </c>
      <c r="AI276" s="1" t="b">
        <v>0</v>
      </c>
      <c r="AJ276" s="1" t="s">
        <v>926</v>
      </c>
      <c r="AK276" s="1" t="str">
        <f>IF(ISBLANK(SharePointTasks[[#This Row],[Operational ActionId]]), SharePointTasks[[#This Row],[Title]], SharePointTasks[[#This Row],[Title]] &amp; " (" &amp; VLOOKUP(SharePointTasks[[#This Row],[Operational ActionId]], Operational_Actions[], 6, FALSE) &amp; ")")</f>
        <v>Branch Finance Committee</v>
      </c>
      <c r="AM276" s="1" t="str">
        <v>Branch Finance Committee</v>
      </c>
    </row>
    <row r="277" spans="1:39" x14ac:dyDescent="0.2">
      <c r="A277" s="1">
        <v>0</v>
      </c>
      <c r="B277" s="1">
        <v>979</v>
      </c>
      <c r="D277" s="1" t="s">
        <v>348</v>
      </c>
      <c r="E277" s="1" t="s">
        <v>440</v>
      </c>
      <c r="F277" s="1" t="s">
        <v>406</v>
      </c>
      <c r="G277" s="1" t="s">
        <v>378</v>
      </c>
      <c r="J277" s="1" t="s">
        <v>87</v>
      </c>
      <c r="K277" s="31">
        <v>46341</v>
      </c>
      <c r="L277" s="31">
        <v>46341</v>
      </c>
      <c r="P277" s="1" t="s">
        <v>379</v>
      </c>
      <c r="Q277" s="1" t="s">
        <v>379</v>
      </c>
      <c r="T277" s="1">
        <v>5769</v>
      </c>
      <c r="U277" s="1" t="s">
        <v>381</v>
      </c>
      <c r="Y277" s="1" t="b">
        <v>1</v>
      </c>
      <c r="Z277" s="1" t="s">
        <v>413</v>
      </c>
      <c r="AA277" s="1" t="s">
        <v>94</v>
      </c>
      <c r="AC277" s="1">
        <v>979</v>
      </c>
      <c r="AD277" s="31">
        <v>46225</v>
      </c>
      <c r="AE277" s="31">
        <v>46161</v>
      </c>
      <c r="AF277" s="1">
        <v>102</v>
      </c>
      <c r="AG277" s="1">
        <v>102</v>
      </c>
      <c r="AH277" s="1" t="s">
        <v>676</v>
      </c>
      <c r="AI277" s="1" t="b">
        <v>0</v>
      </c>
      <c r="AJ277" s="1" t="s">
        <v>927</v>
      </c>
      <c r="AK277" s="1" t="str">
        <f>IF(ISBLANK(SharePointTasks[[#This Row],[Operational ActionId]]), SharePointTasks[[#This Row],[Title]], SharePointTasks[[#This Row],[Title]] &amp; " (" &amp; VLOOKUP(SharePointTasks[[#This Row],[Operational ActionId]], Operational_Actions[], 6, FALSE) &amp; ")")</f>
        <v>Branch Scout Section Council</v>
      </c>
      <c r="AM277" s="1" t="str">
        <v>Branch Scout Section Council</v>
      </c>
    </row>
    <row r="278" spans="1:39" x14ac:dyDescent="0.2">
      <c r="A278" s="1">
        <v>0</v>
      </c>
      <c r="B278" s="1">
        <v>969</v>
      </c>
      <c r="D278" s="1" t="s">
        <v>348</v>
      </c>
      <c r="E278" s="1" t="s">
        <v>412</v>
      </c>
      <c r="F278" s="1" t="s">
        <v>406</v>
      </c>
      <c r="G278" s="1" t="s">
        <v>378</v>
      </c>
      <c r="J278" s="1" t="s">
        <v>87</v>
      </c>
      <c r="K278" s="31">
        <v>46343</v>
      </c>
      <c r="L278" s="31">
        <v>46343</v>
      </c>
      <c r="P278" s="1" t="s">
        <v>379</v>
      </c>
      <c r="Q278" s="1" t="s">
        <v>379</v>
      </c>
      <c r="S278" s="1" t="s">
        <v>129</v>
      </c>
      <c r="T278" s="1">
        <v>5759</v>
      </c>
      <c r="U278" s="1" t="s">
        <v>381</v>
      </c>
      <c r="Y278" s="1" t="b">
        <v>1</v>
      </c>
      <c r="Z278" s="1" t="s">
        <v>413</v>
      </c>
      <c r="AA278" s="1" t="s">
        <v>94</v>
      </c>
      <c r="AC278" s="1">
        <v>969</v>
      </c>
      <c r="AD278" s="31">
        <v>46225</v>
      </c>
      <c r="AE278" s="31">
        <v>46161</v>
      </c>
      <c r="AF278" s="1">
        <v>102</v>
      </c>
      <c r="AG278" s="1">
        <v>102</v>
      </c>
      <c r="AH278" s="1" t="s">
        <v>676</v>
      </c>
      <c r="AI278" s="1" t="b">
        <v>0</v>
      </c>
      <c r="AJ278" s="1" t="s">
        <v>929</v>
      </c>
      <c r="AK278" s="1" t="str">
        <f>IF(ISBLANK(SharePointTasks[[#This Row],[Operational ActionId]]), SharePointTasks[[#This Row],[Title]], SharePointTasks[[#This Row],[Title]] &amp; " (" &amp; VLOOKUP(SharePointTasks[[#This Row],[Operational ActionId]], Operational_Actions[], 6, FALSE) &amp; ")")</f>
        <v>Branch Joey Scout Council</v>
      </c>
      <c r="AM278" s="1" t="str">
        <v>Branch Joey Scout Council</v>
      </c>
    </row>
    <row r="279" spans="1:39" x14ac:dyDescent="0.2">
      <c r="A279" s="1">
        <v>0</v>
      </c>
      <c r="B279" s="1">
        <v>989</v>
      </c>
      <c r="D279" s="1" t="s">
        <v>348</v>
      </c>
      <c r="E279" s="1" t="s">
        <v>442</v>
      </c>
      <c r="F279" s="1" t="s">
        <v>406</v>
      </c>
      <c r="G279" s="1" t="s">
        <v>378</v>
      </c>
      <c r="J279" s="1" t="s">
        <v>87</v>
      </c>
      <c r="K279" s="31">
        <v>46343</v>
      </c>
      <c r="L279" s="31">
        <v>46343</v>
      </c>
      <c r="P279" s="1" t="s">
        <v>379</v>
      </c>
      <c r="Q279" s="1" t="s">
        <v>379</v>
      </c>
      <c r="T279" s="1">
        <v>5779</v>
      </c>
      <c r="U279" s="1" t="s">
        <v>381</v>
      </c>
      <c r="Y279" s="1" t="b">
        <v>1</v>
      </c>
      <c r="AA279" s="1" t="s">
        <v>94</v>
      </c>
      <c r="AC279" s="1">
        <v>989</v>
      </c>
      <c r="AD279" s="31">
        <v>46225</v>
      </c>
      <c r="AE279" s="31">
        <v>46161</v>
      </c>
      <c r="AF279" s="1">
        <v>102</v>
      </c>
      <c r="AG279" s="1">
        <v>102</v>
      </c>
      <c r="AH279" s="1" t="s">
        <v>414</v>
      </c>
      <c r="AI279" s="1" t="b">
        <v>0</v>
      </c>
      <c r="AJ279" s="1" t="s">
        <v>928</v>
      </c>
      <c r="AK279" s="1" t="str">
        <f>IF(ISBLANK(SharePointTasks[[#This Row],[Operational ActionId]]), SharePointTasks[[#This Row],[Title]], SharePointTasks[[#This Row],[Title]] &amp; " (" &amp; VLOOKUP(SharePointTasks[[#This Row],[Operational ActionId]], Operational_Actions[], 6, FALSE) &amp; ")")</f>
        <v>Branch Youth Venturer Scout Council</v>
      </c>
      <c r="AM279" s="1" t="str">
        <v>Branch Youth Venturer Scout Council</v>
      </c>
    </row>
    <row r="280" spans="1:39" x14ac:dyDescent="0.2">
      <c r="A280" s="1">
        <v>0</v>
      </c>
      <c r="B280" s="1">
        <v>937</v>
      </c>
      <c r="D280" s="1" t="s">
        <v>348</v>
      </c>
      <c r="E280" s="1" t="s">
        <v>445</v>
      </c>
      <c r="F280" s="1" t="s">
        <v>406</v>
      </c>
      <c r="G280" s="1" t="s">
        <v>378</v>
      </c>
      <c r="J280" s="1" t="s">
        <v>87</v>
      </c>
      <c r="K280" s="31">
        <v>46344</v>
      </c>
      <c r="L280" s="31">
        <v>46344</v>
      </c>
      <c r="P280" s="1" t="s">
        <v>379</v>
      </c>
      <c r="Q280" s="1" t="s">
        <v>379</v>
      </c>
      <c r="T280" s="1">
        <v>5727</v>
      </c>
      <c r="U280" s="1" t="s">
        <v>381</v>
      </c>
      <c r="Y280" s="1" t="b">
        <v>1</v>
      </c>
      <c r="AA280" s="1" t="s">
        <v>94</v>
      </c>
      <c r="AC280" s="1">
        <v>937</v>
      </c>
      <c r="AD280" s="31">
        <v>46225</v>
      </c>
      <c r="AE280" s="31">
        <v>46161</v>
      </c>
      <c r="AF280" s="1">
        <v>102</v>
      </c>
      <c r="AG280" s="1">
        <v>102</v>
      </c>
      <c r="AH280" s="1" t="s">
        <v>414</v>
      </c>
      <c r="AI280" s="1" t="b">
        <v>0</v>
      </c>
      <c r="AJ280" s="1" t="s">
        <v>930</v>
      </c>
      <c r="AK280" s="1" t="str">
        <f>IF(ISBLANK(SharePointTasks[[#This Row],[Operational ActionId]]), SharePointTasks[[#This Row],[Title]], SharePointTasks[[#This Row],[Title]] &amp; " (" &amp; VLOOKUP(SharePointTasks[[#This Row],[Operational ActionId]], Operational_Actions[], 6, FALSE) &amp; ")")</f>
        <v>Branch Cub Scout Section Team Meeting</v>
      </c>
      <c r="AM280" s="1" t="str">
        <v>Branch Cub Scout Section Team Meeting</v>
      </c>
    </row>
    <row r="281" spans="1:39" x14ac:dyDescent="0.2">
      <c r="A281" s="1">
        <v>0</v>
      </c>
      <c r="B281" s="1">
        <v>1068</v>
      </c>
      <c r="D281" s="1" t="s">
        <v>348</v>
      </c>
      <c r="E281" s="1" t="s">
        <v>431</v>
      </c>
      <c r="F281" s="1" t="s">
        <v>931</v>
      </c>
      <c r="G281" s="1" t="s">
        <v>378</v>
      </c>
      <c r="J281" s="1" t="s">
        <v>87</v>
      </c>
      <c r="K281" s="31">
        <v>46345</v>
      </c>
      <c r="L281" s="31">
        <v>46347</v>
      </c>
      <c r="P281" s="1" t="s">
        <v>379</v>
      </c>
      <c r="Q281" s="1" t="s">
        <v>379</v>
      </c>
      <c r="S281" s="1" t="s">
        <v>380</v>
      </c>
      <c r="T281" s="1">
        <v>7488</v>
      </c>
      <c r="U281" s="1" t="s">
        <v>381</v>
      </c>
      <c r="AA281" s="1" t="s">
        <v>5</v>
      </c>
      <c r="AC281" s="1">
        <v>1068</v>
      </c>
      <c r="AD281" s="31">
        <v>46221</v>
      </c>
      <c r="AE281" s="31">
        <v>46161</v>
      </c>
      <c r="AF281" s="1">
        <v>102</v>
      </c>
      <c r="AG281" s="1">
        <v>102</v>
      </c>
      <c r="AH281" s="1" t="s">
        <v>519</v>
      </c>
      <c r="AI281" s="1" t="b">
        <v>0</v>
      </c>
      <c r="AJ281" s="1" t="s">
        <v>932</v>
      </c>
      <c r="AK281" s="1" t="str">
        <f>IF(ISBLANK(SharePointTasks[[#This Row],[Operational ActionId]]), SharePointTasks[[#This Row],[Title]], SharePointTasks[[#This Row],[Title]] &amp; " (" &amp; VLOOKUP(SharePointTasks[[#This Row],[Operational ActionId]], Operational_Actions[], 6, FALSE) &amp; ")")</f>
        <v>Scouting Adventure (Brisbane)</v>
      </c>
      <c r="AM281" s="1" t="str">
        <v>Scouting Adventure (Brisbane)</v>
      </c>
    </row>
    <row r="282" spans="1:39" x14ac:dyDescent="0.2">
      <c r="A282" s="1">
        <v>0</v>
      </c>
      <c r="B282" s="1">
        <v>1137</v>
      </c>
      <c r="D282" s="1" t="s">
        <v>348</v>
      </c>
      <c r="E282" s="1" t="s">
        <v>392</v>
      </c>
      <c r="F282" s="1" t="s">
        <v>393</v>
      </c>
      <c r="G282" s="1" t="s">
        <v>378</v>
      </c>
      <c r="J282" s="1" t="s">
        <v>87</v>
      </c>
      <c r="K282" s="31">
        <v>46345</v>
      </c>
      <c r="L282" s="31">
        <v>46347</v>
      </c>
      <c r="P282" s="1" t="s">
        <v>379</v>
      </c>
      <c r="Q282" s="1" t="s">
        <v>379</v>
      </c>
      <c r="S282" s="1" t="s">
        <v>380</v>
      </c>
      <c r="T282" s="1">
        <v>7616</v>
      </c>
      <c r="U282" s="1" t="s">
        <v>381</v>
      </c>
      <c r="AA282" s="1" t="s">
        <v>5</v>
      </c>
      <c r="AC282" s="1">
        <v>1137</v>
      </c>
      <c r="AD282" s="31">
        <v>46221</v>
      </c>
      <c r="AE282" s="31">
        <v>46161</v>
      </c>
      <c r="AF282" s="1">
        <v>102</v>
      </c>
      <c r="AG282" s="1">
        <v>102</v>
      </c>
      <c r="AH282" s="1" t="s">
        <v>519</v>
      </c>
      <c r="AI282" s="1" t="b">
        <v>0</v>
      </c>
      <c r="AJ282" s="1" t="s">
        <v>933</v>
      </c>
      <c r="AK282" s="1" t="str">
        <f>IF(ISBLANK(SharePointTasks[[#This Row],[Operational ActionId]]), SharePointTasks[[#This Row],[Title]], SharePointTasks[[#This Row],[Title]] &amp; " (" &amp; VLOOKUP(SharePointTasks[[#This Row],[Operational ActionId]], Operational_Actions[], 6, FALSE) &amp; ")")</f>
        <v>Scouting Management - Group Leaders (Brisbane)</v>
      </c>
      <c r="AM282" s="1" t="str">
        <v>Scouting Management - Group Leaders (Brisbane)</v>
      </c>
    </row>
    <row r="283" spans="1:39" x14ac:dyDescent="0.2">
      <c r="A283" s="1">
        <v>0</v>
      </c>
      <c r="B283" s="1">
        <v>1138</v>
      </c>
      <c r="D283" s="1" t="s">
        <v>348</v>
      </c>
      <c r="E283" s="1" t="s">
        <v>389</v>
      </c>
      <c r="F283" s="1" t="s">
        <v>390</v>
      </c>
      <c r="G283" s="1" t="s">
        <v>378</v>
      </c>
      <c r="J283" s="1" t="s">
        <v>87</v>
      </c>
      <c r="K283" s="31">
        <v>46345</v>
      </c>
      <c r="L283" s="31">
        <v>46347</v>
      </c>
      <c r="P283" s="1" t="s">
        <v>379</v>
      </c>
      <c r="Q283" s="1" t="s">
        <v>379</v>
      </c>
      <c r="S283" s="1" t="s">
        <v>380</v>
      </c>
      <c r="T283" s="1">
        <v>7617</v>
      </c>
      <c r="U283" s="1" t="s">
        <v>381</v>
      </c>
      <c r="AA283" s="1" t="s">
        <v>5</v>
      </c>
      <c r="AC283" s="1">
        <v>1138</v>
      </c>
      <c r="AD283" s="31">
        <v>46221</v>
      </c>
      <c r="AE283" s="31">
        <v>46161</v>
      </c>
      <c r="AF283" s="1">
        <v>102</v>
      </c>
      <c r="AG283" s="1">
        <v>102</v>
      </c>
      <c r="AH283" s="1" t="s">
        <v>519</v>
      </c>
      <c r="AI283" s="1" t="b">
        <v>0</v>
      </c>
      <c r="AJ283" s="1" t="s">
        <v>936</v>
      </c>
      <c r="AK283" s="1" t="str">
        <f>IF(ISBLANK(SharePointTasks[[#This Row],[Operational ActionId]]), SharePointTasks[[#This Row],[Title]], SharePointTasks[[#This Row],[Title]] &amp; " (" &amp; VLOOKUP(SharePointTasks[[#This Row],[Operational ActionId]], Operational_Actions[], 6, FALSE) &amp; ")")</f>
        <v>Scouting Essentials (Brisbane)</v>
      </c>
      <c r="AM283" s="1" t="str">
        <v>Scouting Essentials (Brisbane)</v>
      </c>
    </row>
    <row r="284" spans="1:39" x14ac:dyDescent="0.2">
      <c r="A284" s="1">
        <v>0</v>
      </c>
      <c r="B284" s="1">
        <v>1139</v>
      </c>
      <c r="D284" s="1" t="s">
        <v>348</v>
      </c>
      <c r="E284" s="1" t="s">
        <v>576</v>
      </c>
      <c r="F284" s="1" t="s">
        <v>934</v>
      </c>
      <c r="G284" s="1" t="s">
        <v>378</v>
      </c>
      <c r="J284" s="1" t="s">
        <v>87</v>
      </c>
      <c r="K284" s="31">
        <v>46345</v>
      </c>
      <c r="L284" s="31">
        <v>46347</v>
      </c>
      <c r="P284" s="1" t="s">
        <v>379</v>
      </c>
      <c r="Q284" s="1" t="s">
        <v>379</v>
      </c>
      <c r="S284" s="1" t="s">
        <v>380</v>
      </c>
      <c r="T284" s="1">
        <v>7618</v>
      </c>
      <c r="U284" s="1" t="s">
        <v>381</v>
      </c>
      <c r="AA284" s="1" t="s">
        <v>5</v>
      </c>
      <c r="AC284" s="1">
        <v>1139</v>
      </c>
      <c r="AD284" s="31">
        <v>46221</v>
      </c>
      <c r="AE284" s="31">
        <v>46161</v>
      </c>
      <c r="AF284" s="1">
        <v>102</v>
      </c>
      <c r="AG284" s="1">
        <v>102</v>
      </c>
      <c r="AH284" s="1" t="s">
        <v>519</v>
      </c>
      <c r="AI284" s="1" t="b">
        <v>0</v>
      </c>
      <c r="AJ284" s="1" t="s">
        <v>935</v>
      </c>
      <c r="AK284" s="1" t="str">
        <f>IF(ISBLANK(SharePointTasks[[#This Row],[Operational ActionId]]), SharePointTasks[[#This Row],[Title]], SharePointTasks[[#This Row],[Title]] &amp; " (" &amp; VLOOKUP(SharePointTasks[[#This Row],[Operational ActionId]], Operational_Actions[], 6, FALSE) &amp; ")")</f>
        <v>Scouting Adventure (FNQ)</v>
      </c>
      <c r="AM284" s="1" t="str">
        <v>Scouting Adventure (FNQ)</v>
      </c>
    </row>
    <row r="285" spans="1:39" x14ac:dyDescent="0.2">
      <c r="A285" s="1">
        <v>0</v>
      </c>
      <c r="B285" s="1">
        <v>1140</v>
      </c>
      <c r="D285" s="1" t="s">
        <v>348</v>
      </c>
      <c r="E285" s="1" t="s">
        <v>937</v>
      </c>
      <c r="F285" s="1" t="s">
        <v>938</v>
      </c>
      <c r="G285" s="1" t="s">
        <v>378</v>
      </c>
      <c r="J285" s="1" t="s">
        <v>87</v>
      </c>
      <c r="K285" s="31">
        <v>46346</v>
      </c>
      <c r="L285" s="31">
        <v>46347</v>
      </c>
      <c r="P285" s="1" t="s">
        <v>379</v>
      </c>
      <c r="Q285" s="1" t="s">
        <v>379</v>
      </c>
      <c r="S285" s="1" t="s">
        <v>380</v>
      </c>
      <c r="T285" s="1">
        <v>7619</v>
      </c>
      <c r="U285" s="1" t="s">
        <v>381</v>
      </c>
      <c r="AA285" s="1" t="s">
        <v>5</v>
      </c>
      <c r="AC285" s="1">
        <v>1140</v>
      </c>
      <c r="AD285" s="31">
        <v>46221</v>
      </c>
      <c r="AE285" s="31">
        <v>46161</v>
      </c>
      <c r="AF285" s="1">
        <v>102</v>
      </c>
      <c r="AG285" s="1">
        <v>102</v>
      </c>
      <c r="AH285" s="1" t="s">
        <v>519</v>
      </c>
      <c r="AI285" s="1" t="b">
        <v>0</v>
      </c>
      <c r="AJ285" s="1" t="s">
        <v>939</v>
      </c>
      <c r="AK285" s="1" t="str">
        <f>IF(ISBLANK(SharePointTasks[[#This Row],[Operational ActionId]]), SharePointTasks[[#This Row],[Title]], SharePointTasks[[#This Row],[Title]] &amp; " (" &amp; VLOOKUP(SharePointTasks[[#This Row],[Operational ActionId]], Operational_Actions[], 6, FALSE) &amp; ")")</f>
        <v>Vertical - Abseiling Vertical Rescue (FNQ)</v>
      </c>
      <c r="AM285" s="1" t="str">
        <v>Vertical - Abseiling Vertical Rescue (FNQ)</v>
      </c>
    </row>
    <row r="286" spans="1:39" x14ac:dyDescent="0.2">
      <c r="A286" s="1">
        <v>0</v>
      </c>
      <c r="B286" s="1">
        <v>970</v>
      </c>
      <c r="D286" s="1" t="s">
        <v>348</v>
      </c>
      <c r="E286" s="1" t="s">
        <v>940</v>
      </c>
      <c r="F286" s="1" t="s">
        <v>416</v>
      </c>
      <c r="G286" s="1" t="s">
        <v>378</v>
      </c>
      <c r="J286" s="1" t="s">
        <v>87</v>
      </c>
      <c r="K286" s="31">
        <v>46347</v>
      </c>
      <c r="L286" s="31">
        <v>46347</v>
      </c>
      <c r="P286" s="1" t="s">
        <v>379</v>
      </c>
      <c r="Q286" s="1" t="s">
        <v>379</v>
      </c>
      <c r="T286" s="1">
        <v>5760</v>
      </c>
      <c r="U286" s="1" t="s">
        <v>381</v>
      </c>
      <c r="Y286" s="1" t="b">
        <v>1</v>
      </c>
      <c r="Z286" s="1" t="s">
        <v>413</v>
      </c>
      <c r="AA286" s="1" t="s">
        <v>94</v>
      </c>
      <c r="AC286" s="1">
        <v>970</v>
      </c>
      <c r="AD286" s="31">
        <v>46225</v>
      </c>
      <c r="AE286" s="31">
        <v>46161</v>
      </c>
      <c r="AF286" s="1">
        <v>102</v>
      </c>
      <c r="AG286" s="1">
        <v>102</v>
      </c>
      <c r="AH286" s="1" t="s">
        <v>676</v>
      </c>
      <c r="AI286" s="1" t="b">
        <v>0</v>
      </c>
      <c r="AJ286" s="1" t="s">
        <v>941</v>
      </c>
      <c r="AK286" s="1" t="str">
        <f>IF(ISBLANK(SharePointTasks[[#This Row],[Operational ActionId]]), SharePointTasks[[#This Row],[Title]], SharePointTasks[[#This Row],[Title]] &amp; " (" &amp; VLOOKUP(SharePointTasks[[#This Row],[Operational ActionId]], Operational_Actions[], 6, FALSE) &amp; ")")</f>
        <v>Branch Joey Scout Council End of Year</v>
      </c>
      <c r="AM286" s="1" t="str">
        <v>Branch Joey Scout Council End of Year</v>
      </c>
    </row>
    <row r="287" spans="1:39" x14ac:dyDescent="0.2">
      <c r="A287" s="1">
        <v>0</v>
      </c>
      <c r="B287" s="1">
        <v>948</v>
      </c>
      <c r="D287" s="1" t="s">
        <v>348</v>
      </c>
      <c r="E287" s="1" t="s">
        <v>418</v>
      </c>
      <c r="F287" s="1" t="s">
        <v>419</v>
      </c>
      <c r="G287" s="1" t="s">
        <v>378</v>
      </c>
      <c r="J287" s="1" t="s">
        <v>87</v>
      </c>
      <c r="K287" s="31">
        <v>46349</v>
      </c>
      <c r="L287" s="31">
        <v>46349</v>
      </c>
      <c r="P287" s="1" t="s">
        <v>379</v>
      </c>
      <c r="Q287" s="1" t="s">
        <v>379</v>
      </c>
      <c r="T287" s="1">
        <v>5738</v>
      </c>
      <c r="U287" s="1" t="s">
        <v>381</v>
      </c>
      <c r="AA287" s="1" t="s">
        <v>5</v>
      </c>
      <c r="AC287" s="1">
        <v>948</v>
      </c>
      <c r="AD287" s="31">
        <v>46221</v>
      </c>
      <c r="AE287" s="31">
        <v>46161</v>
      </c>
      <c r="AF287" s="1">
        <v>102</v>
      </c>
      <c r="AG287" s="1">
        <v>102</v>
      </c>
      <c r="AH287" s="1" t="s">
        <v>519</v>
      </c>
      <c r="AI287" s="1" t="b">
        <v>0</v>
      </c>
      <c r="AJ287" s="1" t="s">
        <v>942</v>
      </c>
      <c r="AK287" s="1" t="str">
        <f>IF(ISBLANK(SharePointTasks[[#This Row],[Operational ActionId]]), SharePointTasks[[#This Row],[Title]], SharePointTasks[[#This Row],[Title]] &amp; " (" &amp; VLOOKUP(SharePointTasks[[#This Row],[Operational ActionId]], Operational_Actions[], 6, FALSE) &amp; ")")</f>
        <v>Branch Executive Committee</v>
      </c>
      <c r="AM287" s="1" t="str">
        <v>Branch Executive Committee</v>
      </c>
    </row>
    <row r="288" spans="1:39" x14ac:dyDescent="0.2">
      <c r="A288" s="1">
        <v>0</v>
      </c>
      <c r="B288" s="1">
        <v>1042</v>
      </c>
      <c r="D288" s="1" t="s">
        <v>348</v>
      </c>
      <c r="E288" s="1" t="s">
        <v>502</v>
      </c>
      <c r="F288" s="1" t="s">
        <v>628</v>
      </c>
      <c r="G288" s="1" t="s">
        <v>378</v>
      </c>
      <c r="J288" s="1" t="s">
        <v>87</v>
      </c>
      <c r="K288" s="31">
        <v>46361</v>
      </c>
      <c r="L288" s="31">
        <v>46361</v>
      </c>
      <c r="P288" s="1" t="s">
        <v>379</v>
      </c>
      <c r="Q288" s="1" t="s">
        <v>379</v>
      </c>
      <c r="S288" s="1" t="s">
        <v>380</v>
      </c>
      <c r="T288" s="1">
        <v>7376</v>
      </c>
      <c r="U288" s="1" t="s">
        <v>381</v>
      </c>
      <c r="AA288" s="1" t="s">
        <v>5</v>
      </c>
      <c r="AC288" s="1">
        <v>1042</v>
      </c>
      <c r="AD288" s="31">
        <v>46221</v>
      </c>
      <c r="AE288" s="31">
        <v>46161</v>
      </c>
      <c r="AF288" s="1">
        <v>102</v>
      </c>
      <c r="AG288" s="1">
        <v>102</v>
      </c>
      <c r="AH288" s="1" t="s">
        <v>519</v>
      </c>
      <c r="AI288" s="1" t="b">
        <v>0</v>
      </c>
      <c r="AJ288" s="1" t="s">
        <v>943</v>
      </c>
      <c r="AK288" s="1" t="str">
        <f>IF(ISBLANK(SharePointTasks[[#This Row],[Operational ActionId]]), SharePointTasks[[#This Row],[Title]], SharePointTasks[[#This Row],[Title]] &amp; " (" &amp; VLOOKUP(SharePointTasks[[#This Row],[Operational ActionId]], Operational_Actions[], 6, FALSE) &amp; ")")</f>
        <v>Scouting Leadership (Brisbane)</v>
      </c>
      <c r="AM288" s="1" t="str">
        <v>Scouting Leadership (Brisbane)</v>
      </c>
    </row>
    <row r="289" spans="1:39" x14ac:dyDescent="0.2">
      <c r="A289" s="1">
        <v>0</v>
      </c>
      <c r="B289" s="1">
        <v>1043</v>
      </c>
      <c r="D289" s="1" t="s">
        <v>348</v>
      </c>
      <c r="E289" s="1" t="s">
        <v>431</v>
      </c>
      <c r="F289" s="1" t="s">
        <v>625</v>
      </c>
      <c r="G289" s="1" t="s">
        <v>378</v>
      </c>
      <c r="J289" s="1" t="s">
        <v>87</v>
      </c>
      <c r="K289" s="31">
        <v>46361</v>
      </c>
      <c r="L289" s="31">
        <v>46361</v>
      </c>
      <c r="P289" s="1" t="s">
        <v>379</v>
      </c>
      <c r="Q289" s="1" t="s">
        <v>379</v>
      </c>
      <c r="S289" s="1" t="s">
        <v>380</v>
      </c>
      <c r="T289" s="1">
        <v>7377</v>
      </c>
      <c r="U289" s="1" t="s">
        <v>381</v>
      </c>
      <c r="AA289" s="1" t="s">
        <v>5</v>
      </c>
      <c r="AC289" s="1">
        <v>1043</v>
      </c>
      <c r="AD289" s="31">
        <v>46221</v>
      </c>
      <c r="AE289" s="31">
        <v>46161</v>
      </c>
      <c r="AF289" s="1">
        <v>102</v>
      </c>
      <c r="AG289" s="1">
        <v>102</v>
      </c>
      <c r="AH289" s="1" t="s">
        <v>519</v>
      </c>
      <c r="AI289" s="1" t="b">
        <v>0</v>
      </c>
      <c r="AJ289" s="1" t="s">
        <v>944</v>
      </c>
      <c r="AK289" s="1" t="str">
        <f>IF(ISBLANK(SharePointTasks[[#This Row],[Operational ActionId]]), SharePointTasks[[#This Row],[Title]], SharePointTasks[[#This Row],[Title]] &amp; " (" &amp; VLOOKUP(SharePointTasks[[#This Row],[Operational ActionId]], Operational_Actions[], 6, FALSE) &amp; ")")</f>
        <v>Scouting Adventure (Brisbane)</v>
      </c>
      <c r="AM289" s="1" t="str">
        <v>Scouting Adventure (Brisbane)</v>
      </c>
    </row>
    <row r="290" spans="1:39" x14ac:dyDescent="0.2">
      <c r="A290" s="1">
        <v>0</v>
      </c>
      <c r="B290" s="1">
        <v>1027</v>
      </c>
      <c r="D290" s="1" t="s">
        <v>348</v>
      </c>
      <c r="E290" s="1" t="s">
        <v>421</v>
      </c>
      <c r="F290" s="1" t="s">
        <v>820</v>
      </c>
      <c r="G290" s="1" t="s">
        <v>378</v>
      </c>
      <c r="J290" s="1" t="s">
        <v>87</v>
      </c>
      <c r="K290" s="31">
        <v>46364</v>
      </c>
      <c r="L290" s="31">
        <v>46364</v>
      </c>
      <c r="P290" s="1" t="s">
        <v>379</v>
      </c>
      <c r="Q290" s="1" t="s">
        <v>379</v>
      </c>
      <c r="T290" s="1">
        <v>7244</v>
      </c>
      <c r="U290" s="1" t="s">
        <v>381</v>
      </c>
      <c r="AA290" s="1" t="s">
        <v>5</v>
      </c>
      <c r="AC290" s="1">
        <v>1027</v>
      </c>
      <c r="AD290" s="31">
        <v>46221</v>
      </c>
      <c r="AE290" s="31">
        <v>46161</v>
      </c>
      <c r="AF290" s="1">
        <v>102</v>
      </c>
      <c r="AG290" s="1">
        <v>102</v>
      </c>
      <c r="AH290" s="1" t="s">
        <v>519</v>
      </c>
      <c r="AI290" s="1" t="b">
        <v>0</v>
      </c>
      <c r="AJ290" s="1" t="s">
        <v>945</v>
      </c>
      <c r="AK290" s="1" t="str">
        <f>IF(ISBLANK(SharePointTasks[[#This Row],[Operational ActionId]]), SharePointTasks[[#This Row],[Title]], SharePointTasks[[#This Row],[Title]] &amp; " (" &amp; VLOOKUP(SharePointTasks[[#This Row],[Operational ActionId]], Operational_Actions[], 6, FALSE) &amp; ")")</f>
        <v>Cycling - Off Road - SP/TP (Brisbane)</v>
      </c>
      <c r="AM290" s="1" t="str">
        <v>Cycling - Off Road - SP/TP (Brisbane)</v>
      </c>
    </row>
    <row r="291" spans="1:39" x14ac:dyDescent="0.2">
      <c r="A291" s="1">
        <v>0</v>
      </c>
      <c r="B291" s="1">
        <v>1050</v>
      </c>
      <c r="D291" s="1" t="s">
        <v>348</v>
      </c>
      <c r="E291" s="1" t="s">
        <v>421</v>
      </c>
      <c r="F291" s="1" t="s">
        <v>820</v>
      </c>
      <c r="G291" s="1" t="s">
        <v>378</v>
      </c>
      <c r="J291" s="1" t="s">
        <v>87</v>
      </c>
      <c r="K291" s="31">
        <v>46364</v>
      </c>
      <c r="L291" s="31">
        <v>46364</v>
      </c>
      <c r="P291" s="1" t="s">
        <v>379</v>
      </c>
      <c r="Q291" s="1" t="s">
        <v>379</v>
      </c>
      <c r="S291" s="1" t="s">
        <v>380</v>
      </c>
      <c r="T291" s="1">
        <v>7389</v>
      </c>
      <c r="U291" s="1" t="s">
        <v>381</v>
      </c>
      <c r="AA291" s="1" t="s">
        <v>5</v>
      </c>
      <c r="AC291" s="1">
        <v>1050</v>
      </c>
      <c r="AD291" s="31">
        <v>46221</v>
      </c>
      <c r="AE291" s="31">
        <v>46161</v>
      </c>
      <c r="AF291" s="1">
        <v>102</v>
      </c>
      <c r="AG291" s="1">
        <v>102</v>
      </c>
      <c r="AH291" s="1" t="s">
        <v>519</v>
      </c>
      <c r="AI291" s="1" t="b">
        <v>0</v>
      </c>
      <c r="AJ291" s="1" t="s">
        <v>946</v>
      </c>
      <c r="AK291" s="1" t="str">
        <f>IF(ISBLANK(SharePointTasks[[#This Row],[Operational ActionId]]), SharePointTasks[[#This Row],[Title]], SharePointTasks[[#This Row],[Title]] &amp; " (" &amp; VLOOKUP(SharePointTasks[[#This Row],[Operational ActionId]], Operational_Actions[], 6, FALSE) &amp; ")")</f>
        <v>Cycling - Off Road - SP/TP (Brisbane)</v>
      </c>
      <c r="AM291" s="1" t="str">
        <v>Cycling - Off Road - SP/TP (Brisbane)</v>
      </c>
    </row>
    <row r="292" spans="1:39" x14ac:dyDescent="0.2">
      <c r="A292" s="1">
        <v>0</v>
      </c>
      <c r="B292" s="1">
        <v>949</v>
      </c>
      <c r="D292" s="1" t="s">
        <v>348</v>
      </c>
      <c r="E292" s="1" t="s">
        <v>418</v>
      </c>
      <c r="F292" s="1" t="s">
        <v>419</v>
      </c>
      <c r="G292" s="1" t="s">
        <v>378</v>
      </c>
      <c r="J292" s="1" t="s">
        <v>87</v>
      </c>
      <c r="K292" s="31">
        <v>46367</v>
      </c>
      <c r="L292" s="31">
        <v>46367</v>
      </c>
      <c r="P292" s="1" t="s">
        <v>379</v>
      </c>
      <c r="Q292" s="1" t="s">
        <v>379</v>
      </c>
      <c r="T292" s="1">
        <v>5739</v>
      </c>
      <c r="U292" s="1" t="s">
        <v>381</v>
      </c>
      <c r="AA292" s="1" t="s">
        <v>5</v>
      </c>
      <c r="AC292" s="1">
        <v>949</v>
      </c>
      <c r="AD292" s="31">
        <v>46221</v>
      </c>
      <c r="AE292" s="31">
        <v>46161</v>
      </c>
      <c r="AF292" s="1">
        <v>102</v>
      </c>
      <c r="AG292" s="1">
        <v>102</v>
      </c>
      <c r="AH292" s="1" t="s">
        <v>519</v>
      </c>
      <c r="AI292" s="1" t="b">
        <v>0</v>
      </c>
      <c r="AJ292" s="1" t="s">
        <v>947</v>
      </c>
      <c r="AK292" s="1" t="str">
        <f>IF(ISBLANK(SharePointTasks[[#This Row],[Operational ActionId]]), SharePointTasks[[#This Row],[Title]], SharePointTasks[[#This Row],[Title]] &amp; " (" &amp; VLOOKUP(SharePointTasks[[#This Row],[Operational ActionId]], Operational_Actions[], 6, FALSE) &amp; ")")</f>
        <v>Branch Executive Committee</v>
      </c>
      <c r="AM292" s="1" t="str">
        <v>Branch Executive Committee</v>
      </c>
    </row>
    <row r="293" spans="1:39" x14ac:dyDescent="0.2">
      <c r="A293" s="1">
        <v>0</v>
      </c>
      <c r="B293" s="1">
        <v>1002</v>
      </c>
      <c r="D293" s="1" t="s">
        <v>348</v>
      </c>
      <c r="E293" s="1" t="s">
        <v>405</v>
      </c>
      <c r="F293" s="1" t="s">
        <v>406</v>
      </c>
      <c r="G293" s="1" t="s">
        <v>378</v>
      </c>
      <c r="J293" s="1" t="s">
        <v>87</v>
      </c>
      <c r="K293" s="31">
        <v>46375</v>
      </c>
      <c r="L293" s="31">
        <v>46375</v>
      </c>
      <c r="P293" s="1" t="s">
        <v>379</v>
      </c>
      <c r="Q293" s="1" t="s">
        <v>379</v>
      </c>
      <c r="S293" s="1" t="s">
        <v>407</v>
      </c>
      <c r="T293" s="1">
        <v>5792</v>
      </c>
      <c r="U293" s="1" t="s">
        <v>381</v>
      </c>
      <c r="Y293" s="1" t="b">
        <v>1</v>
      </c>
      <c r="AA293" s="1" t="s">
        <v>94</v>
      </c>
      <c r="AC293" s="1">
        <v>1002</v>
      </c>
      <c r="AD293" s="31">
        <v>46225</v>
      </c>
      <c r="AE293" s="31">
        <v>46161</v>
      </c>
      <c r="AF293" s="1">
        <v>102</v>
      </c>
      <c r="AG293" s="1">
        <v>102</v>
      </c>
      <c r="AH293" s="1" t="s">
        <v>414</v>
      </c>
      <c r="AI293" s="1" t="b">
        <v>0</v>
      </c>
      <c r="AJ293" s="1" t="s">
        <v>948</v>
      </c>
      <c r="AK293" s="1" t="str">
        <f>IF(ISBLANK(SharePointTasks[[#This Row],[Operational ActionId]]), SharePointTasks[[#This Row],[Title]], SharePointTasks[[#This Row],[Title]] &amp; " (" &amp; VLOOKUP(SharePointTasks[[#This Row],[Operational ActionId]], Operational_Actions[], 6, FALSE) &amp; ")")</f>
        <v>Queensland Branch Rover Council Meeting</v>
      </c>
      <c r="AM293" s="1" t="str">
        <v>Queensland Branch Rover Council Meeting</v>
      </c>
    </row>
    <row r="294" spans="1:39" x14ac:dyDescent="0.2">
      <c r="A294" s="1">
        <v>0</v>
      </c>
      <c r="B294" s="1">
        <v>961</v>
      </c>
      <c r="D294" s="1" t="s">
        <v>348</v>
      </c>
      <c r="E294" s="1" t="s">
        <v>409</v>
      </c>
      <c r="F294" s="1" t="s">
        <v>410</v>
      </c>
      <c r="G294" s="1" t="s">
        <v>378</v>
      </c>
      <c r="J294" s="1" t="s">
        <v>87</v>
      </c>
      <c r="K294" s="31">
        <v>46376</v>
      </c>
      <c r="L294" s="31">
        <v>46376</v>
      </c>
      <c r="P294" s="1" t="s">
        <v>379</v>
      </c>
      <c r="Q294" s="1" t="s">
        <v>379</v>
      </c>
      <c r="T294" s="1">
        <v>5751</v>
      </c>
      <c r="U294" s="1" t="s">
        <v>381</v>
      </c>
      <c r="AA294" s="1" t="s">
        <v>5</v>
      </c>
      <c r="AC294" s="1">
        <v>961</v>
      </c>
      <c r="AD294" s="31">
        <v>46221</v>
      </c>
      <c r="AE294" s="31">
        <v>46161</v>
      </c>
      <c r="AF294" s="1">
        <v>102</v>
      </c>
      <c r="AG294" s="1">
        <v>102</v>
      </c>
      <c r="AH294" s="1" t="s">
        <v>519</v>
      </c>
      <c r="AI294" s="1" t="b">
        <v>0</v>
      </c>
      <c r="AJ294" s="1" t="s">
        <v>949</v>
      </c>
      <c r="AK294" s="1" t="str">
        <f>IF(ISBLANK(SharePointTasks[[#This Row],[Operational ActionId]]), SharePointTasks[[#This Row],[Title]], SharePointTasks[[#This Row],[Title]] &amp; " (" &amp; VLOOKUP(SharePointTasks[[#This Row],[Operational ActionId]], Operational_Actions[], 6, FALSE) &amp; ")")</f>
        <v>Branch Finance Committee</v>
      </c>
      <c r="AM294" s="1" t="str">
        <v>Branch Finance Committee</v>
      </c>
    </row>
    <row r="295" spans="1:39" x14ac:dyDescent="0.2">
      <c r="A295" s="1">
        <v>0</v>
      </c>
      <c r="B295" s="1">
        <v>916</v>
      </c>
      <c r="D295" s="1" t="s">
        <v>348</v>
      </c>
      <c r="E295" s="1" t="s">
        <v>333</v>
      </c>
      <c r="F295" s="1" t="s">
        <v>416</v>
      </c>
      <c r="G295" s="1" t="s">
        <v>378</v>
      </c>
      <c r="J295" s="1" t="s">
        <v>87</v>
      </c>
      <c r="K295" s="31">
        <v>46380</v>
      </c>
      <c r="L295" s="31">
        <v>46380</v>
      </c>
      <c r="P295" s="1" t="s">
        <v>379</v>
      </c>
      <c r="Q295" s="1" t="s">
        <v>379</v>
      </c>
      <c r="T295" s="1">
        <v>5705</v>
      </c>
      <c r="U295" s="1" t="s">
        <v>381</v>
      </c>
      <c r="AA295" s="1" t="s">
        <v>5</v>
      </c>
      <c r="AC295" s="1">
        <v>916</v>
      </c>
      <c r="AD295" s="31">
        <v>46221</v>
      </c>
      <c r="AE295" s="31">
        <v>46161</v>
      </c>
      <c r="AF295" s="1">
        <v>102</v>
      </c>
      <c r="AG295" s="1">
        <v>102</v>
      </c>
      <c r="AH295" s="1" t="s">
        <v>519</v>
      </c>
      <c r="AI295" s="1" t="b">
        <v>0</v>
      </c>
      <c r="AJ295" s="1" t="s">
        <v>950</v>
      </c>
      <c r="AK295" s="1" t="str">
        <f>IF(ISBLANK(SharePointTasks[[#This Row],[Operational ActionId]]), SharePointTasks[[#This Row],[Title]], SharePointTasks[[#This Row],[Title]] &amp; " (" &amp; VLOOKUP(SharePointTasks[[#This Row],[Operational ActionId]], Operational_Actions[], 6, FALSE) &amp; ")")</f>
        <v>Christmas Day</v>
      </c>
      <c r="AM295" s="1" t="str">
        <v>Christmas Day</v>
      </c>
    </row>
    <row r="296" spans="1:39" x14ac:dyDescent="0.2">
      <c r="A296" s="1">
        <v>0</v>
      </c>
      <c r="B296" s="1">
        <v>915</v>
      </c>
      <c r="D296" s="1" t="s">
        <v>348</v>
      </c>
      <c r="E296" s="1" t="s">
        <v>335</v>
      </c>
      <c r="F296" s="1" t="s">
        <v>416</v>
      </c>
      <c r="G296" s="1" t="s">
        <v>378</v>
      </c>
      <c r="J296" s="1" t="s">
        <v>87</v>
      </c>
      <c r="K296" s="31">
        <v>46381</v>
      </c>
      <c r="L296" s="31">
        <v>46381</v>
      </c>
      <c r="P296" s="1" t="s">
        <v>379</v>
      </c>
      <c r="Q296" s="1" t="s">
        <v>379</v>
      </c>
      <c r="T296" s="1">
        <v>5704</v>
      </c>
      <c r="U296" s="1" t="s">
        <v>381</v>
      </c>
      <c r="AA296" s="1" t="s">
        <v>5</v>
      </c>
      <c r="AC296" s="1">
        <v>915</v>
      </c>
      <c r="AD296" s="31">
        <v>46221</v>
      </c>
      <c r="AE296" s="31">
        <v>46161</v>
      </c>
      <c r="AF296" s="1">
        <v>102</v>
      </c>
      <c r="AG296" s="1">
        <v>102</v>
      </c>
      <c r="AH296" s="1" t="s">
        <v>519</v>
      </c>
      <c r="AI296" s="1" t="b">
        <v>0</v>
      </c>
      <c r="AJ296" s="1" t="s">
        <v>951</v>
      </c>
      <c r="AK296" s="1" t="str">
        <f>IF(ISBLANK(SharePointTasks[[#This Row],[Operational ActionId]]), SharePointTasks[[#This Row],[Title]], SharePointTasks[[#This Row],[Title]] &amp; " (" &amp; VLOOKUP(SharePointTasks[[#This Row],[Operational ActionId]], Operational_Actions[], 6, FALSE) &amp; ")")</f>
        <v>Boxing Day</v>
      </c>
      <c r="AM296" s="1" t="str">
        <v>Boxing Day</v>
      </c>
    </row>
    <row r="297" spans="1:39" x14ac:dyDescent="0.2">
      <c r="A297" s="1">
        <v>0</v>
      </c>
      <c r="B297" s="1">
        <v>1161</v>
      </c>
      <c r="D297" s="1" t="s">
        <v>348</v>
      </c>
      <c r="E297" s="1" t="s">
        <v>952</v>
      </c>
      <c r="F297" s="1" t="s">
        <v>953</v>
      </c>
      <c r="G297" s="1" t="s">
        <v>696</v>
      </c>
      <c r="I297" s="1" t="s">
        <v>658</v>
      </c>
      <c r="J297" s="1" t="s">
        <v>697</v>
      </c>
      <c r="K297" s="31">
        <v>46387</v>
      </c>
      <c r="L297" s="31">
        <v>46416</v>
      </c>
      <c r="P297" s="1" t="s">
        <v>379</v>
      </c>
      <c r="Q297" s="1" t="s">
        <v>379</v>
      </c>
      <c r="U297" s="1" t="s">
        <v>381</v>
      </c>
      <c r="X297" s="1">
        <v>12</v>
      </c>
      <c r="Y297" s="1" t="b">
        <v>1</v>
      </c>
      <c r="AA297" s="1" t="s">
        <v>4</v>
      </c>
      <c r="AB297" s="1" t="b">
        <v>1</v>
      </c>
      <c r="AC297" s="1">
        <v>1161</v>
      </c>
      <c r="AD297" s="31">
        <v>46219</v>
      </c>
      <c r="AE297" s="31">
        <v>46219</v>
      </c>
      <c r="AF297" s="1">
        <v>102</v>
      </c>
      <c r="AG297" s="1">
        <v>102</v>
      </c>
      <c r="AH297" s="1" t="s">
        <v>519</v>
      </c>
      <c r="AI297" s="1" t="b">
        <v>0</v>
      </c>
      <c r="AJ297" s="1" t="s">
        <v>954</v>
      </c>
      <c r="AK297" s="1" t="str">
        <f>IF(ISBLANK(SharePointTasks[[#This Row],[Operational ActionId]]), SharePointTasks[[#This Row],[Title]], SharePointTasks[[#This Row],[Title]] &amp; " (" &amp; VLOOKUP(SharePointTasks[[#This Row],[Operational ActionId]], Operational_Actions[], 6, FALSE) &amp; ")")</f>
        <v>Scouts | Terrain ready (Achievement Pathways Improvements (2026))</v>
      </c>
      <c r="AM297" s="1" t="str">
        <v>Scouts | Terrain ready (Achievement Pathways Improvements (2026))</v>
      </c>
    </row>
    <row r="298" spans="1:39" x14ac:dyDescent="0.2">
      <c r="A298" s="1">
        <v>0</v>
      </c>
      <c r="B298" s="1">
        <v>1181</v>
      </c>
      <c r="D298" s="1" t="s">
        <v>348</v>
      </c>
      <c r="E298" s="1" t="s">
        <v>956</v>
      </c>
      <c r="G298" s="1" t="s">
        <v>696</v>
      </c>
      <c r="I298" s="1" t="s">
        <v>658</v>
      </c>
      <c r="J298" s="1" t="s">
        <v>697</v>
      </c>
      <c r="K298" s="31">
        <v>46749</v>
      </c>
      <c r="L298" s="31">
        <v>46758</v>
      </c>
      <c r="P298" s="1" t="s">
        <v>379</v>
      </c>
      <c r="Q298" s="1" t="s">
        <v>379</v>
      </c>
      <c r="U298" s="1" t="s">
        <v>381</v>
      </c>
      <c r="Y298" s="1" t="b">
        <v>1</v>
      </c>
      <c r="AA298" s="1" t="s">
        <v>94</v>
      </c>
      <c r="AB298" s="1" t="b">
        <v>0</v>
      </c>
      <c r="AC298" s="1">
        <v>1181</v>
      </c>
      <c r="AD298" s="31">
        <v>46226</v>
      </c>
      <c r="AE298" s="31">
        <v>46225</v>
      </c>
      <c r="AF298" s="1">
        <v>102</v>
      </c>
      <c r="AG298" s="1">
        <v>102</v>
      </c>
      <c r="AH298" s="1" t="s">
        <v>519</v>
      </c>
      <c r="AI298" s="1" t="b">
        <v>0</v>
      </c>
      <c r="AJ298" s="1" t="s">
        <v>957</v>
      </c>
      <c r="AK298" s="1" t="str">
        <f>IF(ISBLANK(SharePointTasks[[#This Row],[Operational ActionId]]), SharePointTasks[[#This Row],[Title]], SharePointTasks[[#This Row],[Title]] &amp; " (" &amp; VLOOKUP(SharePointTasks[[#This Row],[Operational ActionId]], Operational_Actions[], 6, FALSE) &amp; ")")</f>
        <v>27th Australian Jamboree (AJ2028)</v>
      </c>
      <c r="AM298" s="1" t="str">
        <v>27th Australian Jamboree (AJ2028)</v>
      </c>
    </row>
    <row r="299" spans="1:39" x14ac:dyDescent="0.2">
      <c r="A299" s="1">
        <v>0</v>
      </c>
      <c r="B299" s="1">
        <v>872</v>
      </c>
      <c r="D299" s="1" t="s">
        <v>348</v>
      </c>
      <c r="E299" s="1" t="s">
        <v>958</v>
      </c>
      <c r="F299" s="1" t="s">
        <v>959</v>
      </c>
      <c r="G299" s="1" t="s">
        <v>378</v>
      </c>
      <c r="J299" s="1" t="s">
        <v>87</v>
      </c>
      <c r="K299" s="31">
        <v>191708</v>
      </c>
      <c r="L299" s="31">
        <v>191708</v>
      </c>
      <c r="P299" s="1" t="s">
        <v>379</v>
      </c>
      <c r="Q299" s="1" t="s">
        <v>379</v>
      </c>
      <c r="T299" s="1">
        <v>3795</v>
      </c>
      <c r="U299" s="1" t="s">
        <v>381</v>
      </c>
      <c r="AA299" s="1" t="s">
        <v>5</v>
      </c>
      <c r="AC299" s="1">
        <v>872</v>
      </c>
      <c r="AD299" s="31">
        <v>46221</v>
      </c>
      <c r="AE299" s="31">
        <v>46161</v>
      </c>
      <c r="AF299" s="1">
        <v>102</v>
      </c>
      <c r="AG299" s="1">
        <v>102</v>
      </c>
      <c r="AH299" s="1" t="s">
        <v>519</v>
      </c>
      <c r="AI299" s="1" t="b">
        <v>0</v>
      </c>
      <c r="AJ299" s="1" t="s">
        <v>960</v>
      </c>
      <c r="AK299" s="1" t="str">
        <f>IF(ISBLANK(SharePointTasks[[#This Row],[Operational ActionId]]), SharePointTasks[[#This Row],[Title]], SharePointTasks[[#This Row],[Title]] &amp; " (" &amp; VLOOKUP(SharePointTasks[[#This Row],[Operational ActionId]], Operational_Actions[], 6, FALSE) &amp; ")")</f>
        <v>Double Boat Dive (Brisbane)</v>
      </c>
      <c r="AM299" s="1" t="str">
        <v>Double Boat Dive (Brisbane)</v>
      </c>
    </row>
  </sheetData>
  <phoneticPr fontId="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84C89-45E6-41DE-B8C7-7F730485A78D}">
  <sheetPr>
    <tabColor rgb="FFFF0000"/>
  </sheetPr>
  <dimension ref="A1:X14"/>
  <sheetViews>
    <sheetView workbookViewId="0">
      <pane ySplit="2" topLeftCell="A3" activePane="bottomLeft" state="frozen"/>
      <selection sqref="A1:XFD1"/>
      <selection pane="bottomLeft" sqref="A1:XFD1"/>
    </sheetView>
  </sheetViews>
  <sheetFormatPr baseColWidth="10" defaultColWidth="8.83203125" defaultRowHeight="15" x14ac:dyDescent="0.2"/>
  <cols>
    <col min="1" max="1" width="5.1640625" bestFit="1" customWidth="1"/>
    <col min="2" max="2" width="21" bestFit="1" customWidth="1"/>
    <col min="3" max="4" width="25.5" bestFit="1" customWidth="1"/>
    <col min="5" max="5" width="74.1640625" bestFit="1" customWidth="1"/>
    <col min="6" max="6" width="80.5" bestFit="1" customWidth="1"/>
    <col min="7" max="7" width="16.5" bestFit="1" customWidth="1"/>
    <col min="8" max="8" width="18.5" bestFit="1" customWidth="1"/>
    <col min="9" max="9" width="16" bestFit="1" customWidth="1"/>
    <col min="10" max="11" width="80.5" bestFit="1" customWidth="1"/>
    <col min="12" max="12" width="10.1640625" bestFit="1" customWidth="1"/>
    <col min="13" max="13" width="10.5" bestFit="1" customWidth="1"/>
    <col min="14" max="14" width="14.83203125" bestFit="1" customWidth="1"/>
    <col min="15" max="15" width="80.5" bestFit="1" customWidth="1"/>
    <col min="16" max="16" width="21" bestFit="1" customWidth="1"/>
    <col min="17" max="17" width="6.83203125" bestFit="1" customWidth="1"/>
    <col min="18" max="19" width="14.5" bestFit="1" customWidth="1"/>
    <col min="20" max="20" width="10.5" bestFit="1" customWidth="1"/>
    <col min="21" max="21" width="9.83203125" bestFit="1" customWidth="1"/>
    <col min="22" max="22" width="22.5" bestFit="1" customWidth="1"/>
    <col min="23" max="23" width="13.5" bestFit="1" customWidth="1"/>
    <col min="24" max="24" width="34.83203125" bestFit="1" customWidth="1"/>
  </cols>
  <sheetData>
    <row r="1" spans="1:24" s="38" customFormat="1" ht="24" x14ac:dyDescent="0.3">
      <c r="A1" s="38" t="s">
        <v>961</v>
      </c>
    </row>
    <row r="2" spans="1:24" x14ac:dyDescent="0.2">
      <c r="A2" t="s">
        <v>48</v>
      </c>
      <c r="B2" t="s">
        <v>47</v>
      </c>
      <c r="C2" t="s">
        <v>49</v>
      </c>
      <c r="D2" t="s">
        <v>50</v>
      </c>
      <c r="E2" t="s">
        <v>67</v>
      </c>
      <c r="F2" t="s">
        <v>51</v>
      </c>
      <c r="G2" t="s">
        <v>68</v>
      </c>
      <c r="H2" t="s">
        <v>69</v>
      </c>
      <c r="I2" t="s">
        <v>962</v>
      </c>
      <c r="J2" t="s">
        <v>963</v>
      </c>
      <c r="K2" t="s">
        <v>52</v>
      </c>
      <c r="L2" t="s">
        <v>56</v>
      </c>
      <c r="M2" t="s">
        <v>964</v>
      </c>
      <c r="N2" t="s">
        <v>965</v>
      </c>
      <c r="O2" t="s">
        <v>966</v>
      </c>
      <c r="P2" t="s">
        <v>967</v>
      </c>
      <c r="Q2" t="s">
        <v>75</v>
      </c>
      <c r="R2" t="s">
        <v>76</v>
      </c>
      <c r="S2" t="s">
        <v>77</v>
      </c>
      <c r="T2" t="s">
        <v>78</v>
      </c>
      <c r="U2" t="s">
        <v>79</v>
      </c>
      <c r="V2" t="s">
        <v>80</v>
      </c>
      <c r="W2" t="s">
        <v>81</v>
      </c>
      <c r="X2" t="s">
        <v>82</v>
      </c>
    </row>
    <row r="3" spans="1:24" x14ac:dyDescent="0.2">
      <c r="A3">
        <v>1</v>
      </c>
      <c r="B3">
        <v>0</v>
      </c>
      <c r="D3" t="s">
        <v>348</v>
      </c>
      <c r="E3" t="s">
        <v>968</v>
      </c>
      <c r="F3" t="s">
        <v>969</v>
      </c>
      <c r="I3">
        <v>1</v>
      </c>
      <c r="J3" t="s">
        <v>970</v>
      </c>
      <c r="K3" t="s">
        <v>971</v>
      </c>
      <c r="L3" t="s">
        <v>659</v>
      </c>
      <c r="M3">
        <v>378</v>
      </c>
      <c r="N3" t="s">
        <v>972</v>
      </c>
      <c r="O3" t="s">
        <v>973</v>
      </c>
      <c r="P3" s="21"/>
      <c r="Q3">
        <v>1</v>
      </c>
      <c r="R3" s="32">
        <v>46217.926064814812</v>
      </c>
      <c r="S3" s="32">
        <v>46191.929155092592</v>
      </c>
      <c r="T3">
        <v>102</v>
      </c>
      <c r="U3">
        <v>102</v>
      </c>
      <c r="V3" t="s">
        <v>414</v>
      </c>
      <c r="W3" t="b">
        <v>0</v>
      </c>
      <c r="X3" t="s">
        <v>974</v>
      </c>
    </row>
    <row r="4" spans="1:24" x14ac:dyDescent="0.2">
      <c r="A4">
        <v>2</v>
      </c>
      <c r="B4">
        <v>0</v>
      </c>
      <c r="D4" t="s">
        <v>348</v>
      </c>
      <c r="E4" t="s">
        <v>968</v>
      </c>
      <c r="F4" t="s">
        <v>975</v>
      </c>
      <c r="K4" t="s">
        <v>971</v>
      </c>
      <c r="L4" t="s">
        <v>697</v>
      </c>
      <c r="P4" s="21"/>
      <c r="Q4">
        <v>2</v>
      </c>
      <c r="R4" s="32">
        <v>46217.409525462965</v>
      </c>
      <c r="S4" s="32">
        <v>46217.408935185187</v>
      </c>
      <c r="T4">
        <v>102</v>
      </c>
      <c r="U4">
        <v>102</v>
      </c>
      <c r="V4" t="s">
        <v>519</v>
      </c>
      <c r="W4" t="b">
        <v>0</v>
      </c>
      <c r="X4" t="s">
        <v>976</v>
      </c>
    </row>
    <row r="5" spans="1:24" x14ac:dyDescent="0.2">
      <c r="A5">
        <v>3</v>
      </c>
      <c r="B5">
        <v>0</v>
      </c>
      <c r="D5" t="s">
        <v>348</v>
      </c>
      <c r="E5" t="s">
        <v>968</v>
      </c>
      <c r="F5" t="s">
        <v>977</v>
      </c>
      <c r="K5" t="s">
        <v>978</v>
      </c>
      <c r="L5" t="s">
        <v>697</v>
      </c>
      <c r="P5" s="21"/>
      <c r="Q5">
        <v>3</v>
      </c>
      <c r="R5" s="32">
        <v>46217.409895833334</v>
      </c>
      <c r="S5" s="32">
        <v>46217.409791666665</v>
      </c>
      <c r="T5">
        <v>102</v>
      </c>
      <c r="U5">
        <v>102</v>
      </c>
      <c r="V5" t="s">
        <v>660</v>
      </c>
      <c r="W5" t="b">
        <v>0</v>
      </c>
      <c r="X5" t="s">
        <v>979</v>
      </c>
    </row>
    <row r="6" spans="1:24" x14ac:dyDescent="0.2">
      <c r="A6">
        <v>4</v>
      </c>
      <c r="B6">
        <v>0</v>
      </c>
      <c r="D6" t="s">
        <v>348</v>
      </c>
      <c r="E6" t="s">
        <v>968</v>
      </c>
      <c r="F6" t="s">
        <v>980</v>
      </c>
      <c r="K6" t="s">
        <v>981</v>
      </c>
      <c r="L6" t="s">
        <v>697</v>
      </c>
      <c r="P6" s="21"/>
      <c r="Q6">
        <v>4</v>
      </c>
      <c r="R6" s="32">
        <v>46217.410081018519</v>
      </c>
      <c r="S6" s="32">
        <v>46217.409988425927</v>
      </c>
      <c r="T6">
        <v>102</v>
      </c>
      <c r="U6">
        <v>102</v>
      </c>
      <c r="V6" t="s">
        <v>660</v>
      </c>
      <c r="W6" t="b">
        <v>0</v>
      </c>
      <c r="X6" t="s">
        <v>982</v>
      </c>
    </row>
    <row r="7" spans="1:24" x14ac:dyDescent="0.2">
      <c r="A7">
        <v>5</v>
      </c>
      <c r="B7">
        <v>0</v>
      </c>
      <c r="D7" t="s">
        <v>348</v>
      </c>
      <c r="E7" t="s">
        <v>968</v>
      </c>
      <c r="F7" t="s">
        <v>983</v>
      </c>
      <c r="K7" t="s">
        <v>984</v>
      </c>
      <c r="L7" t="s">
        <v>659</v>
      </c>
      <c r="P7" s="21"/>
      <c r="Q7">
        <v>5</v>
      </c>
      <c r="R7" s="32">
        <v>46217.926192129627</v>
      </c>
      <c r="S7" s="32">
        <v>46217.410254629627</v>
      </c>
      <c r="T7">
        <v>102</v>
      </c>
      <c r="U7">
        <v>102</v>
      </c>
      <c r="V7" t="s">
        <v>519</v>
      </c>
      <c r="W7" t="b">
        <v>0</v>
      </c>
      <c r="X7" t="s">
        <v>985</v>
      </c>
    </row>
    <row r="8" spans="1:24" x14ac:dyDescent="0.2">
      <c r="A8">
        <v>6</v>
      </c>
      <c r="B8">
        <v>0</v>
      </c>
      <c r="D8" t="s">
        <v>348</v>
      </c>
      <c r="E8" t="s">
        <v>968</v>
      </c>
      <c r="F8" t="s">
        <v>986</v>
      </c>
      <c r="K8" t="s">
        <v>987</v>
      </c>
      <c r="L8" t="s">
        <v>659</v>
      </c>
      <c r="P8" s="21"/>
      <c r="Q8">
        <v>6</v>
      </c>
      <c r="R8" s="32">
        <v>46217.926261574074</v>
      </c>
      <c r="S8" s="32">
        <v>46217.410381944443</v>
      </c>
      <c r="T8">
        <v>102</v>
      </c>
      <c r="U8">
        <v>102</v>
      </c>
      <c r="V8" t="s">
        <v>519</v>
      </c>
      <c r="W8" t="b">
        <v>0</v>
      </c>
      <c r="X8" t="s">
        <v>988</v>
      </c>
    </row>
    <row r="9" spans="1:24" x14ac:dyDescent="0.2">
      <c r="A9">
        <v>7</v>
      </c>
      <c r="B9">
        <v>0</v>
      </c>
      <c r="D9" t="s">
        <v>348</v>
      </c>
      <c r="E9" t="s">
        <v>968</v>
      </c>
      <c r="F9" t="s">
        <v>989</v>
      </c>
      <c r="K9" t="s">
        <v>990</v>
      </c>
      <c r="L9" t="s">
        <v>697</v>
      </c>
      <c r="P9" s="21"/>
      <c r="Q9">
        <v>7</v>
      </c>
      <c r="R9" s="32">
        <v>46217.410601851851</v>
      </c>
      <c r="S9" s="32">
        <v>46217.410520833335</v>
      </c>
      <c r="T9">
        <v>102</v>
      </c>
      <c r="U9">
        <v>102</v>
      </c>
      <c r="V9" t="s">
        <v>660</v>
      </c>
      <c r="W9" t="b">
        <v>0</v>
      </c>
      <c r="X9" t="s">
        <v>991</v>
      </c>
    </row>
    <row r="10" spans="1:24" x14ac:dyDescent="0.2">
      <c r="A10">
        <v>8</v>
      </c>
      <c r="B10">
        <v>0</v>
      </c>
      <c r="D10" t="s">
        <v>348</v>
      </c>
      <c r="E10" t="s">
        <v>968</v>
      </c>
      <c r="F10" t="s">
        <v>992</v>
      </c>
      <c r="K10" t="s">
        <v>993</v>
      </c>
      <c r="L10" t="s">
        <v>697</v>
      </c>
      <c r="P10" s="21"/>
      <c r="Q10">
        <v>8</v>
      </c>
      <c r="R10" s="32">
        <v>46217.411053240743</v>
      </c>
      <c r="S10" s="32">
        <v>46217.411053240743</v>
      </c>
      <c r="T10">
        <v>102</v>
      </c>
      <c r="U10">
        <v>102</v>
      </c>
      <c r="V10" t="s">
        <v>994</v>
      </c>
      <c r="W10" t="b">
        <v>0</v>
      </c>
      <c r="X10" t="s">
        <v>995</v>
      </c>
    </row>
    <row r="11" spans="1:24" x14ac:dyDescent="0.2">
      <c r="A11">
        <v>9</v>
      </c>
      <c r="B11">
        <v>0</v>
      </c>
      <c r="D11" t="s">
        <v>348</v>
      </c>
      <c r="E11" t="s">
        <v>968</v>
      </c>
      <c r="F11" t="s">
        <v>996</v>
      </c>
      <c r="K11" t="s">
        <v>997</v>
      </c>
      <c r="L11" t="s">
        <v>697</v>
      </c>
      <c r="P11" s="21"/>
      <c r="Q11">
        <v>9</v>
      </c>
      <c r="R11" s="32">
        <v>46217.41128472222</v>
      </c>
      <c r="S11" s="32">
        <v>46217.411192129628</v>
      </c>
      <c r="T11">
        <v>102</v>
      </c>
      <c r="U11">
        <v>102</v>
      </c>
      <c r="V11" t="s">
        <v>660</v>
      </c>
      <c r="W11" t="b">
        <v>0</v>
      </c>
      <c r="X11" t="s">
        <v>998</v>
      </c>
    </row>
    <row r="12" spans="1:24" x14ac:dyDescent="0.2">
      <c r="A12">
        <v>10</v>
      </c>
      <c r="B12">
        <v>0</v>
      </c>
      <c r="D12" t="s">
        <v>348</v>
      </c>
      <c r="E12" t="s">
        <v>968</v>
      </c>
      <c r="F12" t="s">
        <v>999</v>
      </c>
      <c r="K12" t="s">
        <v>1000</v>
      </c>
      <c r="L12" t="s">
        <v>697</v>
      </c>
      <c r="P12" s="21"/>
      <c r="Q12">
        <v>10</v>
      </c>
      <c r="R12" s="32">
        <v>46217.411504629628</v>
      </c>
      <c r="S12" s="32">
        <v>46217.411412037036</v>
      </c>
      <c r="T12">
        <v>102</v>
      </c>
      <c r="U12">
        <v>102</v>
      </c>
      <c r="V12" t="s">
        <v>660</v>
      </c>
      <c r="W12" t="b">
        <v>0</v>
      </c>
      <c r="X12" t="s">
        <v>1001</v>
      </c>
    </row>
    <row r="13" spans="1:24" x14ac:dyDescent="0.2">
      <c r="A13">
        <v>12</v>
      </c>
      <c r="B13">
        <v>0</v>
      </c>
      <c r="D13" t="s">
        <v>348</v>
      </c>
      <c r="E13" t="s">
        <v>968</v>
      </c>
      <c r="F13" t="s">
        <v>662</v>
      </c>
      <c r="I13">
        <v>1</v>
      </c>
      <c r="L13" t="s">
        <v>697</v>
      </c>
      <c r="O13" t="s">
        <v>973</v>
      </c>
      <c r="P13" s="21">
        <v>46373</v>
      </c>
      <c r="Q13">
        <v>12</v>
      </c>
      <c r="R13" s="32">
        <v>46219.020740740743</v>
      </c>
      <c r="S13" s="32">
        <v>46218.126701388886</v>
      </c>
      <c r="T13">
        <v>102</v>
      </c>
      <c r="U13">
        <v>102</v>
      </c>
      <c r="V13" t="s">
        <v>519</v>
      </c>
      <c r="W13" t="b">
        <v>0</v>
      </c>
      <c r="X13" t="s">
        <v>1002</v>
      </c>
    </row>
    <row r="14" spans="1:24" x14ac:dyDescent="0.2">
      <c r="A14">
        <v>13</v>
      </c>
      <c r="B14">
        <v>0</v>
      </c>
      <c r="D14" t="s">
        <v>348</v>
      </c>
      <c r="E14" t="s">
        <v>968</v>
      </c>
      <c r="F14" t="s">
        <v>1003</v>
      </c>
      <c r="I14">
        <v>1</v>
      </c>
      <c r="J14" t="s">
        <v>1004</v>
      </c>
      <c r="K14" t="s">
        <v>1005</v>
      </c>
      <c r="L14" t="s">
        <v>697</v>
      </c>
      <c r="O14" t="s">
        <v>973</v>
      </c>
      <c r="P14" s="21">
        <v>46352</v>
      </c>
      <c r="Q14">
        <v>13</v>
      </c>
      <c r="R14" s="32">
        <v>46221.090740740743</v>
      </c>
      <c r="S14" s="32">
        <v>46221.090381944443</v>
      </c>
      <c r="T14">
        <v>102</v>
      </c>
      <c r="U14">
        <v>102</v>
      </c>
      <c r="V14" t="s">
        <v>660</v>
      </c>
      <c r="W14" t="b">
        <v>0</v>
      </c>
      <c r="X14" t="s">
        <v>1006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504E6-DD9E-4ADE-A2AB-6D149CC4B809}">
  <sheetPr>
    <tabColor rgb="FFFF0000"/>
  </sheetPr>
  <dimension ref="A1:AM79"/>
  <sheetViews>
    <sheetView topLeftCell="M1" workbookViewId="0">
      <pane ySplit="2" topLeftCell="A3" activePane="bottomLeft" state="frozen"/>
      <selection sqref="A1:XFD1"/>
      <selection pane="bottomLeft" activeCell="D24" sqref="D24"/>
    </sheetView>
  </sheetViews>
  <sheetFormatPr baseColWidth="10" defaultColWidth="8.83203125" defaultRowHeight="15" x14ac:dyDescent="0.2"/>
  <cols>
    <col min="1" max="1" width="21" bestFit="1" customWidth="1"/>
    <col min="2" max="2" width="5.1640625" bestFit="1" customWidth="1"/>
    <col min="3" max="4" width="25.5" bestFit="1" customWidth="1"/>
    <col min="5" max="5" width="48.5" bestFit="1" customWidth="1"/>
    <col min="6" max="6" width="80.5" bestFit="1" customWidth="1"/>
    <col min="7" max="7" width="9.5" bestFit="1" customWidth="1"/>
    <col min="8" max="8" width="19" bestFit="1" customWidth="1"/>
    <col min="9" max="9" width="11.5" bestFit="1" customWidth="1"/>
    <col min="10" max="10" width="12.1640625" bestFit="1" customWidth="1"/>
    <col min="11" max="12" width="14.5" bestFit="1" customWidth="1"/>
    <col min="13" max="13" width="14.83203125" bestFit="1" customWidth="1"/>
    <col min="14" max="14" width="19.5" bestFit="1" customWidth="1"/>
    <col min="15" max="15" width="8.1640625" bestFit="1" customWidth="1"/>
    <col min="16" max="16" width="18" bestFit="1" customWidth="1"/>
    <col min="17" max="17" width="22.5" bestFit="1" customWidth="1"/>
    <col min="18" max="18" width="10.5" bestFit="1" customWidth="1"/>
    <col min="19" max="19" width="6.83203125" bestFit="1" customWidth="1"/>
    <col min="20" max="20" width="12.1640625" bestFit="1" customWidth="1"/>
    <col min="21" max="21" width="15.1640625" bestFit="1" customWidth="1"/>
    <col min="22" max="22" width="16.5" bestFit="1" customWidth="1"/>
    <col min="23" max="23" width="18.5" bestFit="1" customWidth="1"/>
    <col min="24" max="24" width="20" bestFit="1" customWidth="1"/>
    <col min="25" max="25" width="9.5" bestFit="1" customWidth="1"/>
    <col min="26" max="26" width="18.1640625" bestFit="1" customWidth="1"/>
    <col min="27" max="27" width="17.1640625" bestFit="1" customWidth="1"/>
    <col min="28" max="28" width="11.5" bestFit="1" customWidth="1"/>
    <col min="29" max="29" width="6.83203125" bestFit="1" customWidth="1"/>
    <col min="30" max="30" width="10.83203125" bestFit="1" customWidth="1"/>
    <col min="31" max="31" width="9.83203125" bestFit="1" customWidth="1"/>
    <col min="32" max="32" width="10.5" bestFit="1" customWidth="1"/>
    <col min="33" max="33" width="9.83203125" bestFit="1" customWidth="1"/>
    <col min="34" max="34" width="22.5" bestFit="1" customWidth="1"/>
    <col min="35" max="35" width="13.5" bestFit="1" customWidth="1"/>
    <col min="36" max="36" width="7.5" bestFit="1" customWidth="1"/>
    <col min="37" max="37" width="8.1640625" bestFit="1" customWidth="1"/>
    <col min="38" max="38" width="25.5" bestFit="1" customWidth="1"/>
    <col min="39" max="39" width="19.5" bestFit="1" customWidth="1"/>
  </cols>
  <sheetData>
    <row r="1" spans="1:39" s="38" customFormat="1" ht="24" x14ac:dyDescent="0.3">
      <c r="A1" s="38" t="s">
        <v>353</v>
      </c>
    </row>
    <row r="2" spans="1:39" x14ac:dyDescent="0.2">
      <c r="A2" t="s">
        <v>47</v>
      </c>
      <c r="B2" t="s">
        <v>48</v>
      </c>
      <c r="C2" t="s">
        <v>49</v>
      </c>
      <c r="D2" t="s">
        <v>50</v>
      </c>
      <c r="E2" t="s">
        <v>51</v>
      </c>
      <c r="F2" t="s">
        <v>52</v>
      </c>
      <c r="G2" t="s">
        <v>53</v>
      </c>
      <c r="H2" t="s">
        <v>54</v>
      </c>
      <c r="I2" t="s">
        <v>55</v>
      </c>
      <c r="J2" t="s">
        <v>56</v>
      </c>
      <c r="K2" t="s">
        <v>57</v>
      </c>
      <c r="L2" t="s">
        <v>58</v>
      </c>
      <c r="M2" t="s">
        <v>59</v>
      </c>
      <c r="N2" t="s">
        <v>60</v>
      </c>
      <c r="O2" t="s">
        <v>61</v>
      </c>
      <c r="P2" t="s">
        <v>62</v>
      </c>
      <c r="Q2" t="s">
        <v>63</v>
      </c>
      <c r="R2" t="s">
        <v>64</v>
      </c>
      <c r="S2" t="s">
        <v>65</v>
      </c>
      <c r="T2" t="s">
        <v>66</v>
      </c>
      <c r="U2" t="s">
        <v>67</v>
      </c>
      <c r="V2" t="s">
        <v>68</v>
      </c>
      <c r="W2" t="s">
        <v>69</v>
      </c>
      <c r="X2" t="s">
        <v>70</v>
      </c>
      <c r="Y2" t="s">
        <v>71</v>
      </c>
      <c r="Z2" t="s">
        <v>72</v>
      </c>
      <c r="AA2" t="s">
        <v>73</v>
      </c>
      <c r="AB2" t="s">
        <v>74</v>
      </c>
      <c r="AC2" t="s">
        <v>75</v>
      </c>
      <c r="AD2" t="s">
        <v>76</v>
      </c>
      <c r="AE2" t="s">
        <v>77</v>
      </c>
      <c r="AF2" t="s">
        <v>78</v>
      </c>
      <c r="AG2" t="s">
        <v>79</v>
      </c>
      <c r="AH2" t="s">
        <v>80</v>
      </c>
      <c r="AI2" t="s">
        <v>81</v>
      </c>
      <c r="AJ2" t="s">
        <v>82</v>
      </c>
      <c r="AK2" t="s">
        <v>83</v>
      </c>
      <c r="AL2" t="s">
        <v>84</v>
      </c>
      <c r="AM2" t="s">
        <v>85</v>
      </c>
    </row>
    <row r="3" spans="1:39" x14ac:dyDescent="0.2">
      <c r="E3" t="s">
        <v>86</v>
      </c>
      <c r="J3" t="s">
        <v>87</v>
      </c>
      <c r="K3" s="32">
        <v>46115</v>
      </c>
      <c r="L3" s="32">
        <v>46131</v>
      </c>
      <c r="AA3" t="s">
        <v>88</v>
      </c>
    </row>
    <row r="4" spans="1:39" x14ac:dyDescent="0.2">
      <c r="E4" t="s">
        <v>90</v>
      </c>
      <c r="J4" t="s">
        <v>87</v>
      </c>
      <c r="K4" s="32">
        <v>46200</v>
      </c>
      <c r="L4" s="32">
        <v>46217</v>
      </c>
      <c r="AA4" t="s">
        <v>88</v>
      </c>
    </row>
    <row r="5" spans="1:39" x14ac:dyDescent="0.2">
      <c r="E5" t="s">
        <v>91</v>
      </c>
      <c r="J5" t="s">
        <v>87</v>
      </c>
      <c r="K5" s="32">
        <v>46284</v>
      </c>
      <c r="L5" s="32">
        <v>46300</v>
      </c>
      <c r="AA5" t="s">
        <v>88</v>
      </c>
    </row>
    <row r="6" spans="1:39" x14ac:dyDescent="0.2">
      <c r="E6" t="s">
        <v>92</v>
      </c>
      <c r="J6" t="s">
        <v>87</v>
      </c>
      <c r="K6" s="32">
        <v>46368</v>
      </c>
      <c r="L6" s="32">
        <v>46413</v>
      </c>
      <c r="AA6" t="s">
        <v>88</v>
      </c>
    </row>
    <row r="7" spans="1:39" x14ac:dyDescent="0.2">
      <c r="E7" t="s">
        <v>86</v>
      </c>
      <c r="J7" t="s">
        <v>87</v>
      </c>
      <c r="K7" s="32">
        <v>46472</v>
      </c>
      <c r="L7" s="32">
        <v>46488</v>
      </c>
      <c r="AA7" t="s">
        <v>88</v>
      </c>
    </row>
    <row r="8" spans="1:39" x14ac:dyDescent="0.2">
      <c r="E8" t="s">
        <v>90</v>
      </c>
      <c r="J8" t="s">
        <v>87</v>
      </c>
      <c r="K8" s="32">
        <v>46564</v>
      </c>
      <c r="L8" s="32">
        <v>46579</v>
      </c>
      <c r="AA8" t="s">
        <v>88</v>
      </c>
    </row>
    <row r="9" spans="1:39" x14ac:dyDescent="0.2">
      <c r="E9" t="s">
        <v>91</v>
      </c>
      <c r="J9" t="s">
        <v>87</v>
      </c>
      <c r="K9" s="32">
        <v>46648</v>
      </c>
      <c r="L9" s="32">
        <v>46664</v>
      </c>
      <c r="AA9" t="s">
        <v>88</v>
      </c>
    </row>
    <row r="10" spans="1:39" x14ac:dyDescent="0.2">
      <c r="E10" t="s">
        <v>92</v>
      </c>
      <c r="J10" t="s">
        <v>87</v>
      </c>
      <c r="K10" s="32">
        <v>46732</v>
      </c>
      <c r="L10" s="32">
        <v>46775</v>
      </c>
      <c r="AA10" t="s">
        <v>88</v>
      </c>
    </row>
    <row r="11" spans="1:39" x14ac:dyDescent="0.2">
      <c r="E11" t="s">
        <v>86</v>
      </c>
      <c r="J11" t="s">
        <v>87</v>
      </c>
      <c r="K11" s="32">
        <v>46844</v>
      </c>
      <c r="L11" s="32">
        <v>46860</v>
      </c>
      <c r="AA11" t="s">
        <v>88</v>
      </c>
    </row>
    <row r="12" spans="1:39" x14ac:dyDescent="0.2">
      <c r="E12" t="s">
        <v>90</v>
      </c>
      <c r="J12" t="s">
        <v>87</v>
      </c>
      <c r="K12" s="32">
        <v>46928</v>
      </c>
      <c r="L12" s="32">
        <v>46943</v>
      </c>
      <c r="AA12" t="s">
        <v>88</v>
      </c>
    </row>
    <row r="13" spans="1:39" x14ac:dyDescent="0.2">
      <c r="E13" t="s">
        <v>91</v>
      </c>
      <c r="J13" t="s">
        <v>87</v>
      </c>
      <c r="K13" s="32">
        <v>47012</v>
      </c>
      <c r="L13" s="32">
        <v>47028</v>
      </c>
      <c r="AA13" t="s">
        <v>88</v>
      </c>
    </row>
    <row r="14" spans="1:39" x14ac:dyDescent="0.2">
      <c r="E14" t="s">
        <v>92</v>
      </c>
      <c r="J14" t="s">
        <v>87</v>
      </c>
      <c r="K14" s="32">
        <v>47096</v>
      </c>
      <c r="L14" s="32">
        <v>47139</v>
      </c>
      <c r="AA14" t="s">
        <v>88</v>
      </c>
    </row>
    <row r="15" spans="1:39" x14ac:dyDescent="0.2">
      <c r="E15" t="s">
        <v>86</v>
      </c>
      <c r="J15" t="s">
        <v>87</v>
      </c>
      <c r="K15" s="32">
        <v>47207</v>
      </c>
      <c r="L15" s="32">
        <v>47223</v>
      </c>
      <c r="AA15" t="s">
        <v>88</v>
      </c>
    </row>
    <row r="16" spans="1:39" x14ac:dyDescent="0.2">
      <c r="E16" t="s">
        <v>90</v>
      </c>
      <c r="J16" t="s">
        <v>87</v>
      </c>
      <c r="K16" s="32">
        <v>47292</v>
      </c>
      <c r="L16" s="32">
        <v>47307</v>
      </c>
      <c r="AA16" t="s">
        <v>88</v>
      </c>
    </row>
    <row r="17" spans="5:27" x14ac:dyDescent="0.2">
      <c r="E17" t="s">
        <v>91</v>
      </c>
      <c r="J17" t="s">
        <v>87</v>
      </c>
      <c r="K17" s="32">
        <v>47376</v>
      </c>
      <c r="L17" s="32">
        <v>47392</v>
      </c>
      <c r="AA17" t="s">
        <v>88</v>
      </c>
    </row>
    <row r="18" spans="5:27" x14ac:dyDescent="0.2">
      <c r="E18" t="s">
        <v>92</v>
      </c>
      <c r="J18" t="s">
        <v>87</v>
      </c>
      <c r="K18" s="32">
        <v>47460</v>
      </c>
      <c r="L18" s="32">
        <v>47483</v>
      </c>
      <c r="AA18" t="s">
        <v>88</v>
      </c>
    </row>
    <row r="19" spans="5:27" x14ac:dyDescent="0.2">
      <c r="E19" t="s">
        <v>93</v>
      </c>
      <c r="J19" t="s">
        <v>87</v>
      </c>
      <c r="K19" s="32">
        <v>46619</v>
      </c>
      <c r="L19" s="32">
        <v>46621</v>
      </c>
      <c r="AA19" t="s">
        <v>94</v>
      </c>
    </row>
    <row r="20" spans="5:27" x14ac:dyDescent="0.2">
      <c r="E20" t="s">
        <v>95</v>
      </c>
      <c r="J20" t="s">
        <v>87</v>
      </c>
      <c r="K20" s="32">
        <v>46472</v>
      </c>
      <c r="L20" s="32">
        <v>46475</v>
      </c>
      <c r="AA20" t="s">
        <v>88</v>
      </c>
    </row>
    <row r="21" spans="5:27" x14ac:dyDescent="0.2">
      <c r="E21" t="s">
        <v>96</v>
      </c>
      <c r="J21" t="s">
        <v>87</v>
      </c>
      <c r="K21" s="32">
        <v>46857</v>
      </c>
      <c r="L21" s="32">
        <v>46860</v>
      </c>
      <c r="AA21" t="s">
        <v>88</v>
      </c>
    </row>
    <row r="22" spans="5:27" x14ac:dyDescent="0.2">
      <c r="E22" t="s">
        <v>97</v>
      </c>
      <c r="J22" t="s">
        <v>87</v>
      </c>
      <c r="K22" s="32">
        <v>47207</v>
      </c>
      <c r="L22" s="32">
        <v>47210</v>
      </c>
      <c r="AA22" t="s">
        <v>88</v>
      </c>
    </row>
    <row r="23" spans="5:27" x14ac:dyDescent="0.2">
      <c r="E23" t="s">
        <v>98</v>
      </c>
      <c r="J23" t="s">
        <v>87</v>
      </c>
      <c r="K23" s="32">
        <v>46270</v>
      </c>
      <c r="L23" s="32">
        <v>46270</v>
      </c>
      <c r="AA23" t="s">
        <v>94</v>
      </c>
    </row>
    <row r="24" spans="5:27" x14ac:dyDescent="0.2">
      <c r="E24" t="s">
        <v>99</v>
      </c>
      <c r="J24" t="s">
        <v>87</v>
      </c>
      <c r="K24" s="32">
        <v>46459</v>
      </c>
      <c r="L24" s="32">
        <v>46459</v>
      </c>
      <c r="AA24" t="s">
        <v>94</v>
      </c>
    </row>
    <row r="25" spans="5:27" x14ac:dyDescent="0.2">
      <c r="E25" t="s">
        <v>100</v>
      </c>
      <c r="J25" t="s">
        <v>87</v>
      </c>
      <c r="K25" s="32">
        <v>46319</v>
      </c>
      <c r="L25" s="32">
        <v>46320</v>
      </c>
      <c r="AA25" t="s">
        <v>94</v>
      </c>
    </row>
    <row r="26" spans="5:27" x14ac:dyDescent="0.2">
      <c r="E26" t="s">
        <v>101</v>
      </c>
      <c r="J26" t="s">
        <v>87</v>
      </c>
      <c r="K26" s="32">
        <v>46620</v>
      </c>
      <c r="L26" s="32">
        <v>46622</v>
      </c>
      <c r="AA26" t="s">
        <v>94</v>
      </c>
    </row>
    <row r="27" spans="5:27" x14ac:dyDescent="0.2">
      <c r="E27" t="s">
        <v>102</v>
      </c>
      <c r="J27" t="s">
        <v>87</v>
      </c>
      <c r="K27" s="32">
        <v>46613</v>
      </c>
      <c r="L27" s="32">
        <v>46614</v>
      </c>
      <c r="AA27" t="s">
        <v>94</v>
      </c>
    </row>
    <row r="28" spans="5:27" x14ac:dyDescent="0.2">
      <c r="E28" t="s">
        <v>103</v>
      </c>
      <c r="J28" t="s">
        <v>87</v>
      </c>
      <c r="K28" s="32">
        <v>46508</v>
      </c>
      <c r="L28" s="32">
        <v>46508</v>
      </c>
      <c r="AA28" t="s">
        <v>94</v>
      </c>
    </row>
    <row r="29" spans="5:27" x14ac:dyDescent="0.2">
      <c r="E29" t="s">
        <v>105</v>
      </c>
      <c r="J29" t="s">
        <v>87</v>
      </c>
      <c r="K29" s="32">
        <v>46661</v>
      </c>
      <c r="L29" s="32">
        <v>46661</v>
      </c>
      <c r="AA29" t="s">
        <v>94</v>
      </c>
    </row>
    <row r="30" spans="5:27" x14ac:dyDescent="0.2">
      <c r="E30" t="s">
        <v>106</v>
      </c>
      <c r="J30" t="s">
        <v>87</v>
      </c>
      <c r="K30" s="32">
        <v>46447</v>
      </c>
      <c r="L30" s="32">
        <v>46447</v>
      </c>
      <c r="AA30" t="s">
        <v>94</v>
      </c>
    </row>
    <row r="31" spans="5:27" x14ac:dyDescent="0.2">
      <c r="E31" t="s">
        <v>106</v>
      </c>
      <c r="J31" t="s">
        <v>87</v>
      </c>
      <c r="K31" s="32">
        <v>46692</v>
      </c>
      <c r="L31" s="32">
        <v>46692</v>
      </c>
      <c r="AA31" t="s">
        <v>94</v>
      </c>
    </row>
    <row r="32" spans="5:27" x14ac:dyDescent="0.2">
      <c r="E32" t="s">
        <v>107</v>
      </c>
      <c r="J32" t="s">
        <v>87</v>
      </c>
      <c r="K32" s="32">
        <v>46539</v>
      </c>
      <c r="L32" s="32">
        <v>46539</v>
      </c>
      <c r="AA32" t="s">
        <v>94</v>
      </c>
    </row>
    <row r="33" spans="5:39" x14ac:dyDescent="0.2">
      <c r="E33" t="s">
        <v>106</v>
      </c>
      <c r="J33" t="s">
        <v>87</v>
      </c>
      <c r="K33" s="32">
        <v>46569</v>
      </c>
      <c r="L33" s="32">
        <v>46569</v>
      </c>
      <c r="AA33" t="s">
        <v>94</v>
      </c>
    </row>
    <row r="34" spans="5:39" x14ac:dyDescent="0.2">
      <c r="E34" t="s">
        <v>108</v>
      </c>
      <c r="J34" t="s">
        <v>87</v>
      </c>
      <c r="K34" s="32">
        <v>46631</v>
      </c>
      <c r="L34" s="32">
        <v>46631</v>
      </c>
      <c r="AA34" t="s">
        <v>6</v>
      </c>
    </row>
    <row r="35" spans="5:39" x14ac:dyDescent="0.2">
      <c r="E35" t="s">
        <v>109</v>
      </c>
      <c r="J35" t="s">
        <v>87</v>
      </c>
      <c r="K35" s="32">
        <v>46419</v>
      </c>
      <c r="L35" s="32">
        <v>46419</v>
      </c>
      <c r="AA35" t="s">
        <v>94</v>
      </c>
    </row>
    <row r="36" spans="5:39" x14ac:dyDescent="0.2">
      <c r="E36" t="s">
        <v>110</v>
      </c>
      <c r="J36" t="s">
        <v>87</v>
      </c>
      <c r="K36" s="32">
        <v>46357</v>
      </c>
      <c r="L36" s="32">
        <v>46418</v>
      </c>
      <c r="AA36" t="s">
        <v>6</v>
      </c>
    </row>
    <row r="37" spans="5:39" x14ac:dyDescent="0.2">
      <c r="E37" t="s">
        <v>111</v>
      </c>
      <c r="J37" t="s">
        <v>87</v>
      </c>
      <c r="K37" s="32">
        <v>46447</v>
      </c>
      <c r="L37" s="32">
        <v>46447</v>
      </c>
      <c r="AA37" t="s">
        <v>94</v>
      </c>
    </row>
    <row r="38" spans="5:39" x14ac:dyDescent="0.2">
      <c r="E38" t="s">
        <v>112</v>
      </c>
      <c r="J38" t="s">
        <v>87</v>
      </c>
      <c r="K38" s="32">
        <v>46388</v>
      </c>
      <c r="L38" s="32">
        <v>46446</v>
      </c>
      <c r="AA38" t="s">
        <v>6</v>
      </c>
    </row>
    <row r="39" spans="5:39" x14ac:dyDescent="0.2">
      <c r="E39" t="s">
        <v>113</v>
      </c>
      <c r="J39" t="s">
        <v>87</v>
      </c>
      <c r="K39" s="32">
        <v>46508</v>
      </c>
      <c r="L39" s="32">
        <v>46508</v>
      </c>
      <c r="AA39" t="s">
        <v>94</v>
      </c>
    </row>
    <row r="40" spans="5:39" x14ac:dyDescent="0.2">
      <c r="E40" t="s">
        <v>114</v>
      </c>
      <c r="J40" t="s">
        <v>87</v>
      </c>
      <c r="K40" s="32">
        <v>46478</v>
      </c>
      <c r="L40" s="32">
        <v>46507</v>
      </c>
      <c r="AA40" t="s">
        <v>6</v>
      </c>
    </row>
    <row r="41" spans="5:39" x14ac:dyDescent="0.2">
      <c r="E41" t="s">
        <v>115</v>
      </c>
      <c r="J41" t="s">
        <v>87</v>
      </c>
      <c r="K41" s="32">
        <v>46569</v>
      </c>
      <c r="L41" s="32">
        <v>46569</v>
      </c>
      <c r="AA41" t="s">
        <v>94</v>
      </c>
    </row>
    <row r="42" spans="5:39" x14ac:dyDescent="0.2">
      <c r="E42" t="s">
        <v>116</v>
      </c>
      <c r="J42" t="s">
        <v>87</v>
      </c>
      <c r="K42" s="32">
        <v>46539</v>
      </c>
      <c r="L42" s="32">
        <v>46539</v>
      </c>
      <c r="AA42" t="s">
        <v>6</v>
      </c>
    </row>
    <row r="43" spans="5:39" x14ac:dyDescent="0.2">
      <c r="E43" t="s">
        <v>118</v>
      </c>
      <c r="J43" t="s">
        <v>87</v>
      </c>
      <c r="K43" s="32">
        <v>46631</v>
      </c>
      <c r="L43" s="32">
        <v>46631</v>
      </c>
      <c r="AA43" t="s">
        <v>94</v>
      </c>
    </row>
    <row r="44" spans="5:39" x14ac:dyDescent="0.2">
      <c r="E44" t="s">
        <v>120</v>
      </c>
      <c r="J44" t="s">
        <v>87</v>
      </c>
      <c r="K44" s="32">
        <v>46600</v>
      </c>
      <c r="L44" s="32">
        <v>46600</v>
      </c>
      <c r="AA44" t="s">
        <v>6</v>
      </c>
    </row>
    <row r="45" spans="5:39" x14ac:dyDescent="0.2">
      <c r="E45" t="s">
        <v>122</v>
      </c>
      <c r="J45" t="s">
        <v>87</v>
      </c>
      <c r="K45" s="32">
        <v>46661</v>
      </c>
      <c r="L45" s="32">
        <v>46661</v>
      </c>
      <c r="AA45" t="s">
        <v>94</v>
      </c>
    </row>
    <row r="46" spans="5:39" x14ac:dyDescent="0.2">
      <c r="E46" t="s">
        <v>124</v>
      </c>
      <c r="J46" t="s">
        <v>87</v>
      </c>
      <c r="K46" s="32">
        <v>46419</v>
      </c>
      <c r="L46" s="32">
        <v>46419</v>
      </c>
      <c r="AA46" t="s">
        <v>6</v>
      </c>
    </row>
    <row r="47" spans="5:39" x14ac:dyDescent="0.2">
      <c r="E47" t="s">
        <v>126</v>
      </c>
      <c r="F47" t="s">
        <v>127</v>
      </c>
      <c r="J47" t="s">
        <v>87</v>
      </c>
      <c r="K47" s="32">
        <v>46388</v>
      </c>
      <c r="L47" s="32">
        <v>46388</v>
      </c>
      <c r="Z47" t="s">
        <v>128</v>
      </c>
      <c r="AA47" t="s">
        <v>94</v>
      </c>
      <c r="AM47" t="s">
        <v>129</v>
      </c>
    </row>
    <row r="48" spans="5:39" x14ac:dyDescent="0.2">
      <c r="E48" t="s">
        <v>130</v>
      </c>
      <c r="F48" t="s">
        <v>131</v>
      </c>
      <c r="J48" t="s">
        <v>87</v>
      </c>
      <c r="K48" s="32">
        <v>46388</v>
      </c>
      <c r="L48" s="32">
        <v>46388</v>
      </c>
      <c r="Z48" t="s">
        <v>128</v>
      </c>
      <c r="AA48" t="s">
        <v>94</v>
      </c>
      <c r="AM48" t="s">
        <v>132</v>
      </c>
    </row>
    <row r="49" spans="5:39" x14ac:dyDescent="0.2">
      <c r="E49" t="s">
        <v>133</v>
      </c>
      <c r="F49" t="s">
        <v>134</v>
      </c>
      <c r="J49" t="s">
        <v>87</v>
      </c>
      <c r="K49" s="32">
        <v>46388</v>
      </c>
      <c r="L49" s="32">
        <v>46388</v>
      </c>
      <c r="Z49" t="s">
        <v>128</v>
      </c>
      <c r="AA49" t="s">
        <v>94</v>
      </c>
      <c r="AM49" t="s">
        <v>135</v>
      </c>
    </row>
    <row r="50" spans="5:39" x14ac:dyDescent="0.2">
      <c r="E50" t="s">
        <v>136</v>
      </c>
      <c r="F50" t="s">
        <v>137</v>
      </c>
      <c r="J50" t="s">
        <v>87</v>
      </c>
      <c r="K50" s="32">
        <v>46478</v>
      </c>
      <c r="L50" s="32">
        <v>46478</v>
      </c>
      <c r="Z50" t="s">
        <v>128</v>
      </c>
      <c r="AA50" t="s">
        <v>94</v>
      </c>
      <c r="AM50" t="s">
        <v>138</v>
      </c>
    </row>
    <row r="51" spans="5:39" x14ac:dyDescent="0.2">
      <c r="E51" t="s">
        <v>139</v>
      </c>
      <c r="J51" t="s">
        <v>87</v>
      </c>
      <c r="K51" s="32">
        <v>46447</v>
      </c>
      <c r="L51" s="32">
        <v>46447</v>
      </c>
      <c r="Z51" t="s">
        <v>140</v>
      </c>
      <c r="AA51" t="s">
        <v>94</v>
      </c>
      <c r="AL51" t="s">
        <v>141</v>
      </c>
      <c r="AM51" t="s">
        <v>135</v>
      </c>
    </row>
    <row r="52" spans="5:39" x14ac:dyDescent="0.2">
      <c r="E52" t="s">
        <v>142</v>
      </c>
      <c r="J52" t="s">
        <v>87</v>
      </c>
      <c r="K52" s="32">
        <v>46508</v>
      </c>
      <c r="L52" s="32">
        <v>46508</v>
      </c>
      <c r="Z52" t="s">
        <v>140</v>
      </c>
      <c r="AA52" t="s">
        <v>94</v>
      </c>
      <c r="AL52" t="s">
        <v>141</v>
      </c>
      <c r="AM52" t="s">
        <v>135</v>
      </c>
    </row>
    <row r="53" spans="5:39" x14ac:dyDescent="0.2">
      <c r="E53" t="s">
        <v>143</v>
      </c>
      <c r="J53" t="s">
        <v>87</v>
      </c>
      <c r="K53" s="32">
        <v>46539</v>
      </c>
      <c r="L53" s="32">
        <v>46539</v>
      </c>
      <c r="Z53" t="s">
        <v>140</v>
      </c>
      <c r="AA53" t="s">
        <v>94</v>
      </c>
      <c r="AL53" t="s">
        <v>144</v>
      </c>
      <c r="AM53" t="s">
        <v>135</v>
      </c>
    </row>
    <row r="54" spans="5:39" x14ac:dyDescent="0.2">
      <c r="E54" t="s">
        <v>145</v>
      </c>
      <c r="J54" t="s">
        <v>87</v>
      </c>
      <c r="K54" s="32">
        <v>46569</v>
      </c>
      <c r="L54" s="32">
        <v>46569</v>
      </c>
      <c r="Z54" t="s">
        <v>140</v>
      </c>
      <c r="AA54" t="s">
        <v>94</v>
      </c>
      <c r="AL54" t="s">
        <v>141</v>
      </c>
      <c r="AM54" t="s">
        <v>135</v>
      </c>
    </row>
    <row r="55" spans="5:39" x14ac:dyDescent="0.2">
      <c r="E55" t="s">
        <v>146</v>
      </c>
      <c r="J55" t="s">
        <v>87</v>
      </c>
      <c r="K55" s="32">
        <v>46692</v>
      </c>
      <c r="L55" s="32">
        <v>46692</v>
      </c>
      <c r="Z55" t="s">
        <v>140</v>
      </c>
      <c r="AA55" t="s">
        <v>94</v>
      </c>
      <c r="AL55" t="s">
        <v>141</v>
      </c>
      <c r="AM55" t="s">
        <v>135</v>
      </c>
    </row>
    <row r="56" spans="5:39" x14ac:dyDescent="0.2">
      <c r="E56" t="s">
        <v>147</v>
      </c>
      <c r="J56" t="s">
        <v>87</v>
      </c>
      <c r="K56" s="32">
        <v>46388</v>
      </c>
      <c r="L56" s="32">
        <v>46388</v>
      </c>
      <c r="Z56" t="s">
        <v>140</v>
      </c>
      <c r="AA56" t="s">
        <v>94</v>
      </c>
      <c r="AL56" t="s">
        <v>141</v>
      </c>
      <c r="AM56" t="s">
        <v>138</v>
      </c>
    </row>
    <row r="57" spans="5:39" x14ac:dyDescent="0.2">
      <c r="E57" t="s">
        <v>148</v>
      </c>
      <c r="J57" t="s">
        <v>87</v>
      </c>
      <c r="K57" s="32">
        <v>46419</v>
      </c>
      <c r="L57" s="32">
        <v>46419</v>
      </c>
      <c r="Z57" t="s">
        <v>140</v>
      </c>
      <c r="AA57" t="s">
        <v>94</v>
      </c>
      <c r="AL57" t="s">
        <v>149</v>
      </c>
      <c r="AM57" t="s">
        <v>150</v>
      </c>
    </row>
    <row r="58" spans="5:39" x14ac:dyDescent="0.2">
      <c r="E58" t="s">
        <v>151</v>
      </c>
      <c r="J58" t="s">
        <v>87</v>
      </c>
      <c r="K58" s="32">
        <v>46661</v>
      </c>
      <c r="L58" s="32">
        <v>46661</v>
      </c>
      <c r="Z58" t="s">
        <v>140</v>
      </c>
      <c r="AA58" t="s">
        <v>94</v>
      </c>
      <c r="AL58" t="s">
        <v>149</v>
      </c>
      <c r="AM58" t="s">
        <v>150</v>
      </c>
    </row>
    <row r="59" spans="5:39" x14ac:dyDescent="0.2">
      <c r="E59" t="s">
        <v>152</v>
      </c>
      <c r="J59" t="s">
        <v>87</v>
      </c>
      <c r="K59" s="32">
        <v>46692</v>
      </c>
      <c r="L59" s="32">
        <v>46692</v>
      </c>
      <c r="Z59" t="s">
        <v>140</v>
      </c>
      <c r="AA59" t="s">
        <v>94</v>
      </c>
      <c r="AL59" t="s">
        <v>149</v>
      </c>
      <c r="AM59" t="s">
        <v>150</v>
      </c>
    </row>
    <row r="60" spans="5:39" x14ac:dyDescent="0.2">
      <c r="E60" t="s">
        <v>153</v>
      </c>
      <c r="F60" t="s">
        <v>154</v>
      </c>
      <c r="J60" t="s">
        <v>87</v>
      </c>
      <c r="K60" s="32">
        <v>46569</v>
      </c>
      <c r="L60" s="32">
        <v>46569</v>
      </c>
      <c r="Z60" t="s">
        <v>140</v>
      </c>
      <c r="AA60" t="s">
        <v>94</v>
      </c>
      <c r="AL60" t="s">
        <v>155</v>
      </c>
      <c r="AM60" t="s">
        <v>150</v>
      </c>
    </row>
    <row r="61" spans="5:39" x14ac:dyDescent="0.2">
      <c r="E61" t="s">
        <v>156</v>
      </c>
      <c r="F61" t="s">
        <v>157</v>
      </c>
      <c r="J61" t="s">
        <v>87</v>
      </c>
      <c r="K61" s="32">
        <v>46419</v>
      </c>
      <c r="L61" s="32">
        <v>46419</v>
      </c>
      <c r="Z61" t="s">
        <v>158</v>
      </c>
      <c r="AA61" t="s">
        <v>94</v>
      </c>
      <c r="AM61" t="s">
        <v>150</v>
      </c>
    </row>
    <row r="62" spans="5:39" x14ac:dyDescent="0.2">
      <c r="E62" t="s">
        <v>159</v>
      </c>
      <c r="J62" t="s">
        <v>87</v>
      </c>
      <c r="K62" s="32">
        <v>46447</v>
      </c>
      <c r="L62" s="32">
        <v>46447</v>
      </c>
      <c r="Z62" t="s">
        <v>158</v>
      </c>
      <c r="AA62" t="s">
        <v>94</v>
      </c>
      <c r="AM62" t="s">
        <v>150</v>
      </c>
    </row>
    <row r="63" spans="5:39" x14ac:dyDescent="0.2">
      <c r="E63" t="s">
        <v>160</v>
      </c>
      <c r="J63" t="s">
        <v>87</v>
      </c>
      <c r="K63" s="32">
        <v>46478</v>
      </c>
      <c r="L63" s="32">
        <v>46478</v>
      </c>
      <c r="Z63" t="s">
        <v>158</v>
      </c>
      <c r="AA63" t="s">
        <v>94</v>
      </c>
      <c r="AM63" t="s">
        <v>135</v>
      </c>
    </row>
    <row r="64" spans="5:39" x14ac:dyDescent="0.2">
      <c r="E64" t="s">
        <v>161</v>
      </c>
      <c r="F64" t="s">
        <v>162</v>
      </c>
      <c r="J64" t="s">
        <v>87</v>
      </c>
      <c r="K64" s="32">
        <v>46508</v>
      </c>
      <c r="L64" s="32">
        <v>46508</v>
      </c>
      <c r="Z64" t="s">
        <v>158</v>
      </c>
      <c r="AA64" t="s">
        <v>94</v>
      </c>
      <c r="AM64" t="s">
        <v>135</v>
      </c>
    </row>
    <row r="65" spans="5:39" x14ac:dyDescent="0.2">
      <c r="E65" t="s">
        <v>163</v>
      </c>
      <c r="F65" t="s">
        <v>162</v>
      </c>
      <c r="J65" t="s">
        <v>87</v>
      </c>
      <c r="K65" s="32">
        <v>46508</v>
      </c>
      <c r="L65" s="32">
        <v>46508</v>
      </c>
      <c r="Z65" t="s">
        <v>158</v>
      </c>
      <c r="AA65" t="s">
        <v>94</v>
      </c>
      <c r="AM65" t="s">
        <v>138</v>
      </c>
    </row>
    <row r="66" spans="5:39" x14ac:dyDescent="0.2">
      <c r="E66" t="s">
        <v>164</v>
      </c>
      <c r="F66" t="s">
        <v>165</v>
      </c>
      <c r="J66" t="s">
        <v>87</v>
      </c>
      <c r="K66" s="32">
        <v>46508</v>
      </c>
      <c r="L66" s="32">
        <v>46508</v>
      </c>
      <c r="Z66" t="s">
        <v>158</v>
      </c>
      <c r="AA66" t="s">
        <v>94</v>
      </c>
      <c r="AL66" t="s">
        <v>166</v>
      </c>
      <c r="AM66" t="s">
        <v>132</v>
      </c>
    </row>
    <row r="67" spans="5:39" x14ac:dyDescent="0.2">
      <c r="E67" t="s">
        <v>167</v>
      </c>
      <c r="J67" t="s">
        <v>87</v>
      </c>
      <c r="K67" s="32">
        <v>46539</v>
      </c>
      <c r="L67" s="32">
        <v>46539</v>
      </c>
      <c r="Z67" t="s">
        <v>158</v>
      </c>
      <c r="AA67" t="s">
        <v>94</v>
      </c>
      <c r="AM67" t="s">
        <v>135</v>
      </c>
    </row>
    <row r="68" spans="5:39" x14ac:dyDescent="0.2">
      <c r="E68" t="s">
        <v>168</v>
      </c>
      <c r="F68" t="s">
        <v>169</v>
      </c>
      <c r="J68" t="s">
        <v>87</v>
      </c>
      <c r="K68" s="32">
        <v>46569</v>
      </c>
      <c r="L68" s="32">
        <v>46569</v>
      </c>
      <c r="Z68" t="s">
        <v>158</v>
      </c>
      <c r="AA68" t="s">
        <v>94</v>
      </c>
      <c r="AM68" t="s">
        <v>170</v>
      </c>
    </row>
    <row r="69" spans="5:39" x14ac:dyDescent="0.2">
      <c r="E69" t="s">
        <v>159</v>
      </c>
      <c r="J69" t="s">
        <v>87</v>
      </c>
      <c r="K69" s="32">
        <v>46692</v>
      </c>
      <c r="L69" s="32">
        <v>46692</v>
      </c>
      <c r="Z69" t="s">
        <v>158</v>
      </c>
      <c r="AA69" t="s">
        <v>94</v>
      </c>
      <c r="AM69" t="s">
        <v>150</v>
      </c>
    </row>
    <row r="70" spans="5:39" x14ac:dyDescent="0.2">
      <c r="E70" t="s">
        <v>161</v>
      </c>
      <c r="F70" t="s">
        <v>162</v>
      </c>
      <c r="J70" t="s">
        <v>87</v>
      </c>
      <c r="K70" s="32">
        <v>46631</v>
      </c>
      <c r="L70" s="32">
        <v>46631</v>
      </c>
      <c r="Z70" t="s">
        <v>158</v>
      </c>
      <c r="AA70" t="s">
        <v>94</v>
      </c>
      <c r="AM70" t="s">
        <v>135</v>
      </c>
    </row>
    <row r="71" spans="5:39" x14ac:dyDescent="0.2">
      <c r="E71" t="s">
        <v>163</v>
      </c>
      <c r="F71" t="s">
        <v>162</v>
      </c>
      <c r="J71" t="s">
        <v>87</v>
      </c>
      <c r="K71" s="32">
        <v>46631</v>
      </c>
      <c r="L71" s="32">
        <v>46631</v>
      </c>
      <c r="Z71" t="s">
        <v>158</v>
      </c>
      <c r="AA71" t="s">
        <v>94</v>
      </c>
      <c r="AM71" t="s">
        <v>138</v>
      </c>
    </row>
    <row r="72" spans="5:39" x14ac:dyDescent="0.2">
      <c r="E72" t="s">
        <v>164</v>
      </c>
      <c r="F72" t="s">
        <v>165</v>
      </c>
      <c r="J72" t="s">
        <v>87</v>
      </c>
      <c r="K72" s="32">
        <v>46661</v>
      </c>
      <c r="L72" s="32">
        <v>46661</v>
      </c>
      <c r="Z72" t="s">
        <v>158</v>
      </c>
      <c r="AA72" t="s">
        <v>94</v>
      </c>
      <c r="AL72" t="s">
        <v>166</v>
      </c>
      <c r="AM72" t="s">
        <v>132</v>
      </c>
    </row>
    <row r="73" spans="5:39" x14ac:dyDescent="0.2">
      <c r="E73" t="s">
        <v>171</v>
      </c>
      <c r="F73" t="s">
        <v>172</v>
      </c>
      <c r="J73" t="s">
        <v>87</v>
      </c>
      <c r="K73" s="32">
        <v>46661</v>
      </c>
      <c r="L73" s="32">
        <v>46661</v>
      </c>
      <c r="Z73" t="s">
        <v>158</v>
      </c>
      <c r="AA73" t="s">
        <v>94</v>
      </c>
      <c r="AL73" t="s">
        <v>173</v>
      </c>
      <c r="AM73" t="s">
        <v>132</v>
      </c>
    </row>
    <row r="74" spans="5:39" x14ac:dyDescent="0.2">
      <c r="E74" t="s">
        <v>174</v>
      </c>
      <c r="J74" t="s">
        <v>87</v>
      </c>
      <c r="K74" s="32">
        <v>46661</v>
      </c>
      <c r="L74" s="32">
        <v>46661</v>
      </c>
      <c r="Z74" t="s">
        <v>158</v>
      </c>
      <c r="AA74" t="s">
        <v>94</v>
      </c>
      <c r="AM74" t="s">
        <v>135</v>
      </c>
    </row>
    <row r="75" spans="5:39" x14ac:dyDescent="0.2">
      <c r="E75" t="s">
        <v>175</v>
      </c>
      <c r="F75" t="s">
        <v>176</v>
      </c>
      <c r="J75" t="s">
        <v>87</v>
      </c>
      <c r="K75" s="32">
        <v>46447</v>
      </c>
      <c r="L75" s="32">
        <v>46447</v>
      </c>
      <c r="Z75" t="s">
        <v>158</v>
      </c>
      <c r="AA75" t="s">
        <v>94</v>
      </c>
      <c r="AL75" t="s">
        <v>177</v>
      </c>
      <c r="AM75" t="s">
        <v>150</v>
      </c>
    </row>
    <row r="76" spans="5:39" x14ac:dyDescent="0.2">
      <c r="E76" t="s">
        <v>175</v>
      </c>
      <c r="F76" t="s">
        <v>176</v>
      </c>
      <c r="J76" t="s">
        <v>87</v>
      </c>
      <c r="K76" s="32">
        <v>46508</v>
      </c>
      <c r="L76" s="32">
        <v>46508</v>
      </c>
      <c r="Z76" t="s">
        <v>158</v>
      </c>
      <c r="AA76" t="s">
        <v>94</v>
      </c>
      <c r="AL76" t="s">
        <v>177</v>
      </c>
      <c r="AM76" t="s">
        <v>150</v>
      </c>
    </row>
    <row r="77" spans="5:39" x14ac:dyDescent="0.2">
      <c r="E77" t="s">
        <v>175</v>
      </c>
      <c r="F77" t="s">
        <v>176</v>
      </c>
      <c r="J77" t="s">
        <v>87</v>
      </c>
      <c r="K77" s="32">
        <v>46569</v>
      </c>
      <c r="L77" s="32">
        <v>46569</v>
      </c>
      <c r="Z77" t="s">
        <v>158</v>
      </c>
      <c r="AA77" t="s">
        <v>94</v>
      </c>
      <c r="AL77" t="s">
        <v>177</v>
      </c>
      <c r="AM77" t="s">
        <v>150</v>
      </c>
    </row>
    <row r="78" spans="5:39" x14ac:dyDescent="0.2">
      <c r="E78" t="s">
        <v>175</v>
      </c>
      <c r="F78" t="s">
        <v>176</v>
      </c>
      <c r="J78" t="s">
        <v>87</v>
      </c>
      <c r="K78" s="32">
        <v>46631</v>
      </c>
      <c r="L78" s="32">
        <v>46631</v>
      </c>
      <c r="Z78" t="s">
        <v>158</v>
      </c>
      <c r="AA78" t="s">
        <v>94</v>
      </c>
      <c r="AL78" t="s">
        <v>177</v>
      </c>
      <c r="AM78" t="s">
        <v>150</v>
      </c>
    </row>
    <row r="79" spans="5:39" x14ac:dyDescent="0.2">
      <c r="E79" t="s">
        <v>175</v>
      </c>
      <c r="F79" t="s">
        <v>176</v>
      </c>
      <c r="J79" t="s">
        <v>87</v>
      </c>
      <c r="K79" s="32">
        <v>46692</v>
      </c>
      <c r="L79" s="32">
        <v>46692</v>
      </c>
      <c r="Z79" t="s">
        <v>158</v>
      </c>
      <c r="AA79" t="s">
        <v>94</v>
      </c>
      <c r="AL79" t="s">
        <v>177</v>
      </c>
      <c r="AM79" t="s">
        <v>150</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943CA3B-B95F-40CE-95E5-8FD69B1217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12</vt:i4>
      </vt:variant>
    </vt:vector>
  </HeadingPairs>
  <TitlesOfParts>
    <vt:vector size="21" baseType="lpstr">
      <vt:lpstr>Readme</vt:lpstr>
      <vt:lpstr>Roadmap</vt:lpstr>
      <vt:lpstr>Manual Dates</vt:lpstr>
      <vt:lpstr>2027 Weekly Planner</vt:lpstr>
      <vt:lpstr>Dates and Sources</vt:lpstr>
      <vt:lpstr>AllDates</vt:lpstr>
      <vt:lpstr>YPT Work Items</vt:lpstr>
      <vt:lpstr>YPT Operational Actions</vt:lpstr>
      <vt:lpstr>InfoDates</vt:lpstr>
      <vt:lpstr>Roadmap!category</vt:lpstr>
      <vt:lpstr>Roadmap!display_year</vt:lpstr>
      <vt:lpstr>Roadmap!duration</vt:lpstr>
      <vt:lpstr>Roadmap!end_date</vt:lpstr>
      <vt:lpstr>Roadmap!month</vt:lpstr>
      <vt:lpstr>Roadmap!next_month</vt:lpstr>
      <vt:lpstr>'2027 Weekly Planner'!Print_Area</vt:lpstr>
      <vt:lpstr>Readme!Print_Area</vt:lpstr>
      <vt:lpstr>'2027 Weekly Planner'!Print_Titles</vt:lpstr>
      <vt:lpstr>Roadmap!Print_Titles</vt:lpstr>
      <vt:lpstr>Roadmap!project_start_date</vt:lpstr>
      <vt:lpstr>Roadmap!start_date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Ryan Sodziak</cp:lastModifiedBy>
  <cp:revision/>
  <dcterms:created xsi:type="dcterms:W3CDTF">2021-09-04T08:30:48Z</dcterms:created>
  <dcterms:modified xsi:type="dcterms:W3CDTF">2026-10-12T07:54:57Z</dcterms:modified>
  <cp:category/>
  <cp:contentStatus/>
</cp:coreProperties>
</file>